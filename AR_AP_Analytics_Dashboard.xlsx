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مشروع Accounting + Financial System\"/>
    </mc:Choice>
  </mc:AlternateContent>
  <xr:revisionPtr revIDLastSave="0" documentId="13_ncr:1_{F3D878CD-EE7A-4F99-9FBE-8EE07F2A1AA8}" xr6:coauthVersionLast="47" xr6:coauthVersionMax="47" xr10:uidLastSave="{00000000-0000-0000-0000-000000000000}"/>
  <bookViews>
    <workbookView xWindow="-108" yWindow="-108" windowWidth="23256" windowHeight="12456" activeTab="2" xr2:uid="{E8F94FC2-C440-4AE7-96E6-04F601AA9819}"/>
  </bookViews>
  <sheets>
    <sheet name="Customers Master" sheetId="1" r:id="rId1"/>
    <sheet name="Suppliers Master" sheetId="2" r:id="rId2"/>
    <sheet name="Sales Transactions" sheetId="3" r:id="rId3"/>
    <sheet name="Purchase Transactions" sheetId="4" r:id="rId4"/>
    <sheet name="Customer Receipts" sheetId="5" r:id="rId5"/>
    <sheet name="Supplier Payments" sheetId="7" r:id="rId6"/>
    <sheet name="Chart of Accounts" sheetId="6" r:id="rId7"/>
    <sheet name="Calendar" sheetId="8" r:id="rId8"/>
    <sheet name="Trial Balance" sheetId="9" r:id="rId9"/>
    <sheet name="Income Statement" sheetId="10" r:id="rId10"/>
    <sheet name="Balance Sheet " sheetId="11" r:id="rId11"/>
    <sheet name="Cash Flow" sheetId="12" r:id="rId12"/>
    <sheet name="Customer Mapping" sheetId="13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T7" i="3" s="1"/>
  <c r="F8" i="3"/>
  <c r="T8" i="3" s="1"/>
  <c r="F9" i="3"/>
  <c r="F10" i="3"/>
  <c r="T10" i="3" s="1"/>
  <c r="F11" i="3"/>
  <c r="F12" i="3"/>
  <c r="J12" i="3" s="1"/>
  <c r="F13" i="3"/>
  <c r="J13" i="3" s="1"/>
  <c r="F14" i="3"/>
  <c r="J14" i="3" s="1"/>
  <c r="F15" i="3"/>
  <c r="J15" i="3" s="1"/>
  <c r="F16" i="3"/>
  <c r="J16" i="3" s="1"/>
  <c r="F4" i="3"/>
  <c r="F5" i="3"/>
  <c r="F6" i="3"/>
  <c r="F3" i="3"/>
  <c r="T3" i="3" s="1"/>
  <c r="T11" i="3"/>
  <c r="T12" i="3"/>
  <c r="F2" i="3"/>
  <c r="U2" i="3" s="1"/>
  <c r="T2" i="3"/>
  <c r="T4" i="3"/>
  <c r="U4" i="3" s="1"/>
  <c r="T5" i="3"/>
  <c r="U5" i="3" s="1"/>
  <c r="T6" i="3"/>
  <c r="U6" i="3" s="1"/>
  <c r="B7" i="12"/>
  <c r="B10" i="12"/>
  <c r="B15" i="12"/>
  <c r="B19" i="12"/>
  <c r="B21" i="12"/>
  <c r="B8" i="11"/>
  <c r="B14" i="11"/>
  <c r="B19" i="11"/>
  <c r="B5" i="10"/>
  <c r="B14" i="10" s="1"/>
  <c r="B12" i="10"/>
  <c r="B2" i="9"/>
  <c r="B3" i="9"/>
  <c r="B4" i="9"/>
  <c r="B5" i="9"/>
  <c r="B6" i="9"/>
  <c r="B7" i="9"/>
  <c r="B8" i="9"/>
  <c r="B9" i="9"/>
  <c r="B10" i="9"/>
  <c r="B12" i="9"/>
  <c r="B13" i="9"/>
  <c r="B15" i="9"/>
  <c r="B16" i="9"/>
  <c r="B17" i="9"/>
  <c r="B18" i="9"/>
  <c r="B19" i="9"/>
  <c r="B20" i="9"/>
  <c r="B21" i="9"/>
  <c r="D23" i="9"/>
  <c r="E23" i="9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J4" i="3"/>
  <c r="J5" i="3"/>
  <c r="J6" i="3"/>
  <c r="J11" i="3"/>
  <c r="J2" i="3"/>
  <c r="J10" i="3" l="1"/>
  <c r="J9" i="3"/>
  <c r="J8" i="3"/>
  <c r="U10" i="3"/>
  <c r="J7" i="3"/>
  <c r="T9" i="3"/>
  <c r="U9" i="3" s="1"/>
  <c r="U3" i="3"/>
  <c r="T15" i="3"/>
  <c r="T14" i="3"/>
  <c r="U14" i="3" s="1"/>
  <c r="T13" i="3"/>
  <c r="U13" i="3" s="1"/>
  <c r="U12" i="3"/>
  <c r="U11" i="3"/>
  <c r="J3" i="3"/>
  <c r="T16" i="3"/>
  <c r="U16" i="3" s="1"/>
  <c r="U15" i="3"/>
  <c r="U8" i="3"/>
  <c r="U7" i="3"/>
  <c r="B21" i="11"/>
  <c r="B23" i="11" s="1"/>
  <c r="F2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DB5A15-6397-4F1D-9971-82747822CAAA}" keepAlive="1" name="Query - tbl_COA" description="Connection to the 'tbl_COA' query in the workbook." type="5" refreshedVersion="0" background="1">
    <dbPr connection="Provider=Microsoft.Mashup.OleDb.1;Data Source=$Workbook$;Location=tbl_COA;Extended Properties=&quot;&quot;" command="SELECT * FROM [tbl_COA]"/>
  </connection>
  <connection id="2" xr16:uid="{92D3AD7A-E490-4C89-A4EB-29F386E95B3E}" keepAlive="1" name="Query - tbl_Customer_Receipts" description="Connection to the 'tbl_Customer_Receipts' query in the workbook." type="5" refreshedVersion="0" background="1">
    <dbPr connection="Provider=Microsoft.Mashup.OleDb.1;Data Source=$Workbook$;Location=tbl_Customer_Receipts;Extended Properties=&quot;&quot;" command="SELECT * FROM [tbl_Customer_Receipts]"/>
  </connection>
  <connection id="3" xr16:uid="{D05B3113-784F-4502-98CF-0109DCF198FC}" keepAlive="1" name="Query - tbl_Customers" description="Connection to the 'tbl_Customers' query in the workbook." type="5" refreshedVersion="0" background="1">
    <dbPr connection="Provider=Microsoft.Mashup.OleDb.1;Data Source=$Workbook$;Location=tbl_Customers;Extended Properties=&quot;&quot;" command="SELECT * FROM [tbl_Customers]"/>
  </connection>
  <connection id="4" xr16:uid="{A0DD6BFA-1BAE-498F-AE64-124A45A39450}" keepAlive="1" name="Query - tbl_Purchases" description="Connection to the 'tbl_Purchases' query in the workbook." type="5" refreshedVersion="0" background="1">
    <dbPr connection="Provider=Microsoft.Mashup.OleDb.1;Data Source=$Workbook$;Location=tbl_Purchases;Extended Properties=&quot;&quot;" command="SELECT * FROM [tbl_Purchases]"/>
  </connection>
  <connection id="5" xr16:uid="{1D59D1C5-000A-4D8F-B54E-ED6574E6AF86}" keepAlive="1" name="Query - tbl_Sales" description="Connection to the 'tbl_Sales' query in the workbook." type="5" refreshedVersion="0" background="1">
    <dbPr connection="Provider=Microsoft.Mashup.OleDb.1;Data Source=$Workbook$;Location=tbl_Sales;Extended Properties=&quot;&quot;" command="SELECT * FROM [tbl_Sales]"/>
  </connection>
  <connection id="6" xr16:uid="{9A4329B1-36BA-4A34-B06E-BB0FA96BAAE8}" keepAlive="1" name="Query - tbl_Supplier_Payments" description="Connection to the 'tbl_Supplier_Payments' query in the workbook." type="5" refreshedVersion="0" background="1">
    <dbPr connection="Provider=Microsoft.Mashup.OleDb.1;Data Source=$Workbook$;Location=tbl_Supplier_Payments;Extended Properties=&quot;&quot;" command="SELECT * FROM [tbl_Supplier_Payments]"/>
  </connection>
  <connection id="7" xr16:uid="{92A605D0-0F14-44A7-8714-AAB30DFBFE39}" keepAlive="1" name="Query - tbl_Suppliers" description="Connection to the 'tbl_Suppliers' query in the workbook." type="5" refreshedVersion="0" background="1">
    <dbPr connection="Provider=Microsoft.Mashup.OleDb.1;Data Source=$Workbook$;Location=tbl_Suppliers;Extended Properties=&quot;&quot;" command="SELECT * FROM [tbl_Suppliers]"/>
  </connection>
</connections>
</file>

<file path=xl/sharedStrings.xml><?xml version="1.0" encoding="utf-8"?>
<sst xmlns="http://schemas.openxmlformats.org/spreadsheetml/2006/main" count="1008" uniqueCount="301">
  <si>
    <t>Customer ID</t>
  </si>
  <si>
    <t>Customer Name</t>
  </si>
  <si>
    <t>City</t>
  </si>
  <si>
    <t>Country</t>
  </si>
  <si>
    <t>Credit Limit</t>
  </si>
  <si>
    <t>Payment Terms</t>
  </si>
  <si>
    <t>Status</t>
  </si>
  <si>
    <t>Suppliers ID</t>
  </si>
  <si>
    <t>Suppliers Name</t>
  </si>
  <si>
    <t>Invoice No</t>
  </si>
  <si>
    <t>Invoice Date</t>
  </si>
  <si>
    <t>Customer  Name</t>
  </si>
  <si>
    <t>Due Date</t>
  </si>
  <si>
    <t>Invoice Amount</t>
  </si>
  <si>
    <t>VAT</t>
  </si>
  <si>
    <t>Total Amount</t>
  </si>
  <si>
    <t>Suppliers  Name</t>
  </si>
  <si>
    <t>Receipt No</t>
  </si>
  <si>
    <t>Receipt Date</t>
  </si>
  <si>
    <t>Amount Received</t>
  </si>
  <si>
    <t>Payment Method</t>
  </si>
  <si>
    <t>Payment No</t>
  </si>
  <si>
    <t>Payment Date</t>
  </si>
  <si>
    <t>Supplier ID</t>
  </si>
  <si>
    <t>Supplier Name</t>
  </si>
  <si>
    <t>Amount Paid</t>
  </si>
  <si>
    <t>Cash</t>
  </si>
  <si>
    <t>Account Receivable</t>
  </si>
  <si>
    <t>Allowance for Doubtful Accounts</t>
  </si>
  <si>
    <t>Accounts Payable</t>
  </si>
  <si>
    <t>Sales Revenue</t>
  </si>
  <si>
    <t>VAT Payable</t>
  </si>
  <si>
    <t>Date</t>
  </si>
  <si>
    <t>Year</t>
  </si>
  <si>
    <t>Quarter</t>
  </si>
  <si>
    <t>Month Name</t>
  </si>
  <si>
    <t>Day</t>
  </si>
  <si>
    <t>SalesPerson</t>
  </si>
  <si>
    <t>Discount</t>
  </si>
  <si>
    <t>Customer Type</t>
  </si>
  <si>
    <t>Bank Account</t>
  </si>
  <si>
    <t>Reference No</t>
  </si>
  <si>
    <t>Account Code</t>
  </si>
  <si>
    <t>Account Name</t>
  </si>
  <si>
    <t>Account Type</t>
  </si>
  <si>
    <t>Accounts Category</t>
  </si>
  <si>
    <t>Normal Balance</t>
  </si>
  <si>
    <t>Parent Account</t>
  </si>
  <si>
    <t>Quarter No</t>
  </si>
  <si>
    <t>Month No</t>
  </si>
  <si>
    <t>Month - Year</t>
  </si>
  <si>
    <t>Week No</t>
  </si>
  <si>
    <t>Day Name</t>
  </si>
  <si>
    <t>Asset</t>
  </si>
  <si>
    <t>Bank</t>
  </si>
  <si>
    <t>Inventory</t>
  </si>
  <si>
    <t>Liability</t>
  </si>
  <si>
    <t>Accrued Expenses</t>
  </si>
  <si>
    <t>Equity</t>
  </si>
  <si>
    <t>Retained Earnings</t>
  </si>
  <si>
    <t>Revenue</t>
  </si>
  <si>
    <t>Expense</t>
  </si>
  <si>
    <t>Cost of Goods Sold</t>
  </si>
  <si>
    <t>Prepaid Expenses</t>
  </si>
  <si>
    <t>Owner's Capital</t>
  </si>
  <si>
    <t>Sales Returns</t>
  </si>
  <si>
    <t>Sales Discounts</t>
  </si>
  <si>
    <t>Purchase</t>
  </si>
  <si>
    <t>Purchase Returns</t>
  </si>
  <si>
    <t>Purchase Discounts</t>
  </si>
  <si>
    <t>Bad Debt Expense</t>
  </si>
  <si>
    <t>Office Expense</t>
  </si>
  <si>
    <t>Bank Charges</t>
  </si>
  <si>
    <t>Utilities Expense</t>
  </si>
  <si>
    <t>Current Assets</t>
  </si>
  <si>
    <t>Debit</t>
  </si>
  <si>
    <t>Credit</t>
  </si>
  <si>
    <t>Current Liabilities</t>
  </si>
  <si>
    <t>Operating Revenue</t>
  </si>
  <si>
    <t>Operating Expenses</t>
  </si>
  <si>
    <t>Assets</t>
  </si>
  <si>
    <t>Accounts Receivable</t>
  </si>
  <si>
    <t>Active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</si>
  <si>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</si>
  <si>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</si>
  <si>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</si>
  <si>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</si>
  <si>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</si>
  <si>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</si>
  <si>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</si>
  <si>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</si>
  <si>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</si>
  <si>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</si>
  <si>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</si>
  <si>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</si>
  <si>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</si>
  <si>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</si>
  <si>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</si>
  <si>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</si>
  <si>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</si>
  <si>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</si>
  <si>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</si>
  <si>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</si>
  <si>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Alpha Trading LLC</t>
  </si>
  <si>
    <t>Bright Solutions LLC</t>
  </si>
  <si>
    <t>City Market</t>
  </si>
  <si>
    <t>Delta Electronics</t>
  </si>
  <si>
    <t>Emirates Supplies</t>
  </si>
  <si>
    <t>Future Tech LLC</t>
  </si>
  <si>
    <t>Green Line Store</t>
  </si>
  <si>
    <t>Horizon Group</t>
  </si>
  <si>
    <t>International Mart</t>
  </si>
  <si>
    <t>Jumeirah Retail</t>
  </si>
  <si>
    <t>Kayan Business</t>
  </si>
  <si>
    <t>Link Solutions</t>
  </si>
  <si>
    <t>Modern House</t>
  </si>
  <si>
    <t>Nova Trading</t>
  </si>
  <si>
    <t>Oasis Market</t>
  </si>
  <si>
    <t>Prime Engineering</t>
  </si>
  <si>
    <t>Quick Service LLC</t>
  </si>
  <si>
    <t>Royal Distribution</t>
  </si>
  <si>
    <t>Smart Office</t>
  </si>
  <si>
    <t>Top Line Company</t>
  </si>
  <si>
    <t>Corporate</t>
  </si>
  <si>
    <t>Wholesale</t>
  </si>
  <si>
    <t>Retail</t>
  </si>
  <si>
    <t>Dubai</t>
  </si>
  <si>
    <t>Abu Dhabi</t>
  </si>
  <si>
    <t>Sharjah</t>
  </si>
  <si>
    <t>Ajman</t>
  </si>
  <si>
    <t>UAE</t>
  </si>
  <si>
    <t>Net 60</t>
  </si>
  <si>
    <t>Net 45</t>
  </si>
  <si>
    <t>Net 30</t>
  </si>
  <si>
    <t>Ahmed</t>
  </si>
  <si>
    <t>Mohamed</t>
  </si>
  <si>
    <t>Omar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</si>
  <si>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</si>
  <si>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</si>
  <si>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</si>
  <si>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</si>
  <si>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</si>
  <si>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</si>
  <si>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</si>
  <si>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</si>
  <si>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</si>
  <si>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</si>
  <si>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</si>
  <si>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</si>
  <si>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</si>
  <si>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</si>
  <si>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</si>
  <si>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Emirates Electronics Supplier</t>
  </si>
  <si>
    <t>Gulf Office Supplies</t>
  </si>
  <si>
    <t>Alpha Industrial Trading</t>
  </si>
  <si>
    <t>Bright Materials LLC</t>
  </si>
  <si>
    <t>Future Technology Supplies</t>
  </si>
  <si>
    <t>Horizon Equipment Trading</t>
  </si>
  <si>
    <t>International Parts Supplier</t>
  </si>
  <si>
    <t>Modern Packaging LLC</t>
  </si>
  <si>
    <t>Nova Office Solutions</t>
  </si>
  <si>
    <t>Prime Engineering Supplies</t>
  </si>
  <si>
    <t>Royal Trading Company</t>
  </si>
  <si>
    <t>Smart Solutions Supplier</t>
  </si>
  <si>
    <t>Top Line Materials</t>
  </si>
  <si>
    <t>United Industrial Group</t>
  </si>
  <si>
    <t>Vision Business Supplies</t>
  </si>
  <si>
    <t>Electronics</t>
  </si>
  <si>
    <t>Office Supplies</t>
  </si>
  <si>
    <t>Industrial Equipment</t>
  </si>
  <si>
    <t>Raw Materials</t>
  </si>
  <si>
    <t>Technology</t>
  </si>
  <si>
    <t>Equipment</t>
  </si>
  <si>
    <t>Spare Parts</t>
  </si>
  <si>
    <t>Packaging</t>
  </si>
  <si>
    <t>Engineering</t>
  </si>
  <si>
    <t>General Trading</t>
  </si>
  <si>
    <t>INV001</t>
  </si>
  <si>
    <t>Paid</t>
  </si>
  <si>
    <t>Unpaid</t>
  </si>
  <si>
    <t>Partially Paid</t>
  </si>
  <si>
    <t>PIN001</t>
  </si>
  <si>
    <t>PIN002</t>
  </si>
  <si>
    <t>PIN003</t>
  </si>
  <si>
    <t>PIN004</t>
  </si>
  <si>
    <t>PIN005</t>
  </si>
  <si>
    <t>PIN006</t>
  </si>
  <si>
    <t>PIN007</t>
  </si>
  <si>
    <t>PIN008</t>
  </si>
  <si>
    <t>PIN009</t>
  </si>
  <si>
    <t>PIN010</t>
  </si>
  <si>
    <t>PIN011</t>
  </si>
  <si>
    <t>PIN012</t>
  </si>
  <si>
    <t>PIN013</t>
  </si>
  <si>
    <t>PIN014</t>
  </si>
  <si>
    <t>PIN015</t>
  </si>
  <si>
    <t>Purchase  Category</t>
  </si>
  <si>
    <t>REC001</t>
  </si>
  <si>
    <t>REC002</t>
  </si>
  <si>
    <t>REC003</t>
  </si>
  <si>
    <t>REC004</t>
  </si>
  <si>
    <t>REC005</t>
  </si>
  <si>
    <t>REC006</t>
  </si>
  <si>
    <t>REC007</t>
  </si>
  <si>
    <t>REC008</t>
  </si>
  <si>
    <t>REC009</t>
  </si>
  <si>
    <t>REC010</t>
  </si>
  <si>
    <t>Bank Transfer</t>
  </si>
  <si>
    <t>Cheque</t>
  </si>
  <si>
    <t>Bank Account 1</t>
  </si>
  <si>
    <t xml:space="preserve">Cash Account </t>
  </si>
  <si>
    <t>Cash Account</t>
  </si>
  <si>
    <t>TRX1001</t>
  </si>
  <si>
    <t>TRX1003</t>
  </si>
  <si>
    <t>TRX1005</t>
  </si>
  <si>
    <t>TRX1007</t>
  </si>
  <si>
    <t>TRX1008</t>
  </si>
  <si>
    <t>TRX1010</t>
  </si>
  <si>
    <t>CASH1002</t>
  </si>
  <si>
    <t>CASH1004</t>
  </si>
  <si>
    <t>CHQ1006</t>
  </si>
  <si>
    <t>CHQ1009</t>
  </si>
  <si>
    <t>Cleared</t>
  </si>
  <si>
    <t>PAY001</t>
  </si>
  <si>
    <t>PAY002</t>
  </si>
  <si>
    <t>PAY003</t>
  </si>
  <si>
    <t>PAY004</t>
  </si>
  <si>
    <t>PAY005</t>
  </si>
  <si>
    <t>PAY006</t>
  </si>
  <si>
    <t>PAY007</t>
  </si>
  <si>
    <t>PAY008</t>
  </si>
  <si>
    <t>PAY009</t>
  </si>
  <si>
    <t>PAY010</t>
  </si>
  <si>
    <t>TRX2001</t>
  </si>
  <si>
    <t>CHQ2002</t>
  </si>
  <si>
    <t>CHQ2005</t>
  </si>
  <si>
    <t>TRX2003</t>
  </si>
  <si>
    <t>TRX2004</t>
  </si>
  <si>
    <t>TRX2006</t>
  </si>
  <si>
    <t>TRX2007</t>
  </si>
  <si>
    <t>TRX2008</t>
  </si>
  <si>
    <t>CHQ2009</t>
  </si>
  <si>
    <t>TRX2010</t>
  </si>
  <si>
    <t>Income Summary</t>
  </si>
  <si>
    <t>Bank Loan</t>
  </si>
  <si>
    <t>Net Profit</t>
  </si>
  <si>
    <t>Total Expenses</t>
  </si>
  <si>
    <t>Office Supplies Expense</t>
  </si>
  <si>
    <t>Electricity Expense</t>
  </si>
  <si>
    <t>Salary Expense</t>
  </si>
  <si>
    <t>Rent Expense</t>
  </si>
  <si>
    <t>Gross Profit</t>
  </si>
  <si>
    <t>Less:Cost of Goods Sold</t>
  </si>
  <si>
    <t>Amount</t>
  </si>
  <si>
    <t>Balance Check</t>
  </si>
  <si>
    <t>Total Liabilites + Equity</t>
  </si>
  <si>
    <t>Total Equity</t>
  </si>
  <si>
    <t>Capital</t>
  </si>
  <si>
    <t>Total Liabilities</t>
  </si>
  <si>
    <t>Account Payable</t>
  </si>
  <si>
    <t>Liabilities</t>
  </si>
  <si>
    <t>Total Assets</t>
  </si>
  <si>
    <t>less: Accumulated Depreciation</t>
  </si>
  <si>
    <t>Fixed Assets</t>
  </si>
  <si>
    <t>Prepaid Rent</t>
  </si>
  <si>
    <t>Difference</t>
  </si>
  <si>
    <t>Balance Sheet Cash</t>
  </si>
  <si>
    <t>Ending Cash Balance</t>
  </si>
  <si>
    <t>Beginning Cash Balance</t>
  </si>
  <si>
    <t>Net Change in Cash</t>
  </si>
  <si>
    <t>Summary</t>
  </si>
  <si>
    <t>Net Cash From Financing  Activities</t>
  </si>
  <si>
    <t>Dividends Paid</t>
  </si>
  <si>
    <t>Capital Investment</t>
  </si>
  <si>
    <t>Cash Flow From Financing Activites</t>
  </si>
  <si>
    <t>Net Cash From Investing Activities</t>
  </si>
  <si>
    <t>Purchases of Fixed Assets</t>
  </si>
  <si>
    <t>Cash Flow From Investing Activites</t>
  </si>
  <si>
    <t>Net Cash From Operating Activities</t>
  </si>
  <si>
    <t>Payment To Expenses</t>
  </si>
  <si>
    <t>Payment To Suppliers</t>
  </si>
  <si>
    <t>Collection From Customers</t>
  </si>
  <si>
    <t>Cash Sales</t>
  </si>
  <si>
    <t>Cash Flow From Operating Activites</t>
  </si>
  <si>
    <t>Cash Flow Item</t>
  </si>
  <si>
    <t>Product</t>
  </si>
  <si>
    <t>Quantity</t>
  </si>
  <si>
    <t>Cost Amount</t>
  </si>
  <si>
    <t>Payment Type</t>
  </si>
  <si>
    <t>Laptop</t>
  </si>
  <si>
    <t>Printer</t>
  </si>
  <si>
    <t>Suppliers Category</t>
  </si>
  <si>
    <t>Unit Price</t>
  </si>
  <si>
    <t>Old Customer Name</t>
  </si>
  <si>
    <t>Customer ID New</t>
  </si>
  <si>
    <t>Cost</t>
  </si>
  <si>
    <t>Technology Products</t>
  </si>
  <si>
    <t>Spare parts</t>
  </si>
  <si>
    <t>Packaging Materials</t>
  </si>
  <si>
    <t>Engineering Equipment</t>
  </si>
  <si>
    <t>General Trading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</si>
</sst>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[$-409]d\-mmm\-yyyy;@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"/>
      <family val="2"/>
    </font>
    <font>
      <b/>
      <sz val="14"/>
      <color indexed="8"/>
      <name val="Aptos"/>
      <family val="2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/>
    <xf numFmtId="41" fontId="2" fillId="0" borderId="1" xfId="0" applyNumberFormat="1" applyFont="1" applyBorder="1" applyAlignment="1">
      <alignment horizontal="center"/>
    </xf>
    <xf numFmtId="41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1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1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4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0" fontId="2" fillId="7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165" fontId="2" fillId="0" borderId="3" xfId="1" applyNumberFormat="1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165" fontId="2" fillId="0" borderId="7" xfId="1" applyNumberFormat="1" applyFont="1" applyBorder="1" applyAlignment="1">
      <alignment horizontal="center" vertical="center"/>
    </xf>
    <xf numFmtId="165" fontId="2" fillId="0" borderId="9" xfId="1" applyNumberFormat="1" applyFont="1" applyBorder="1" applyAlignment="1">
      <alignment horizontal="center" vertical="center"/>
    </xf>
    <xf numFmtId="165" fontId="2" fillId="0" borderId="10" xfId="1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41" fontId="2" fillId="0" borderId="7" xfId="1" applyNumberFormat="1" applyFont="1" applyBorder="1" applyAlignment="1">
      <alignment horizontal="center" vertical="center"/>
    </xf>
    <xf numFmtId="41" fontId="2" fillId="0" borderId="3" xfId="1" applyNumberFormat="1" applyFont="1" applyBorder="1" applyAlignment="1">
      <alignment horizontal="center" vertical="center"/>
    </xf>
    <xf numFmtId="41" fontId="2" fillId="5" borderId="10" xfId="1" applyNumberFormat="1" applyFont="1" applyFill="1" applyBorder="1" applyAlignment="1">
      <alignment horizontal="center" vertical="center"/>
    </xf>
    <xf numFmtId="41" fontId="2" fillId="0" borderId="10" xfId="1" applyNumberFormat="1" applyFont="1" applyBorder="1" applyAlignment="1">
      <alignment horizontal="center" vertical="center"/>
    </xf>
    <xf numFmtId="41" fontId="2" fillId="0" borderId="0" xfId="1" applyNumberFormat="1" applyFont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/>
    </xf>
    <xf numFmtId="9" fontId="2" fillId="0" borderId="6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/>
    </xf>
    <xf numFmtId="9" fontId="0" fillId="0" borderId="0" xfId="0" applyNumberFormat="1"/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41" fontId="2" fillId="0" borderId="0" xfId="0" applyNumberFormat="1" applyFont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13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409]d\-mmm\-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409]d\-mmm\-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409]d\-mmm\-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409]d\-mmm\-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409]d\-mmm\-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409]d\-mmm\-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3" formatCode="_-* #,##0_-;\-* #,##0_-;_-* &quot;-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1605;&#1588;&#1585;&#1608;&#1593;%20Accounting%20+%20Financial%20System\Account%20System.xlsx" TargetMode="External"/><Relationship Id="rId1" Type="http://schemas.openxmlformats.org/officeDocument/2006/relationships/externalLinkPath" Target="Account%20Syst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hart of Accounts"/>
      <sheetName val="Customers"/>
      <sheetName val="Suppliers"/>
      <sheetName val="Journal Entries"/>
      <sheetName val="General Ledger"/>
      <sheetName val="Dashboard"/>
      <sheetName val="Profit Analysis"/>
      <sheetName val="Dashboard Analysis"/>
      <sheetName val="Sheet2"/>
      <sheetName val="Table3"/>
      <sheetName val="Sales Analysis"/>
      <sheetName val="Expenses Analysis"/>
      <sheetName val="Sheet5"/>
      <sheetName val="Sheet1"/>
    </sheetNames>
    <sheetDataSet>
      <sheetData sheetId="0"/>
      <sheetData sheetId="1">
        <row r="1">
          <cell r="A1" t="str">
            <v>Account Code</v>
          </cell>
          <cell r="B1" t="str">
            <v>Account Name</v>
          </cell>
        </row>
        <row r="2">
          <cell r="A2">
            <v>1000</v>
          </cell>
          <cell r="B2" t="str">
            <v>Cash</v>
          </cell>
        </row>
        <row r="3">
          <cell r="A3">
            <v>1010</v>
          </cell>
          <cell r="B3" t="str">
            <v>Main Cash</v>
          </cell>
        </row>
        <row r="4">
          <cell r="A4">
            <v>1020</v>
          </cell>
          <cell r="B4" t="str">
            <v>Petty Cash</v>
          </cell>
        </row>
        <row r="5">
          <cell r="A5">
            <v>1100</v>
          </cell>
          <cell r="B5" t="str">
            <v>Bank</v>
          </cell>
        </row>
        <row r="6">
          <cell r="A6">
            <v>1110</v>
          </cell>
          <cell r="B6" t="str">
            <v>Emirates NBD Bank</v>
          </cell>
        </row>
        <row r="7">
          <cell r="A7">
            <v>1120</v>
          </cell>
          <cell r="B7" t="str">
            <v>ADCB Bank</v>
          </cell>
        </row>
        <row r="8">
          <cell r="A8">
            <v>1200</v>
          </cell>
          <cell r="B8" t="str">
            <v>Account Receivable</v>
          </cell>
        </row>
        <row r="9">
          <cell r="A9">
            <v>1300</v>
          </cell>
          <cell r="B9" t="str">
            <v>Inventory</v>
          </cell>
        </row>
        <row r="10">
          <cell r="A10">
            <v>1400</v>
          </cell>
          <cell r="B10" t="str">
            <v>Fixed Assets</v>
          </cell>
        </row>
        <row r="11">
          <cell r="A11">
            <v>1450</v>
          </cell>
          <cell r="B11" t="str">
            <v>Accumulated Deprecuation - Office Equipment</v>
          </cell>
        </row>
        <row r="12">
          <cell r="A12">
            <v>1500</v>
          </cell>
          <cell r="B12" t="str">
            <v>Prepaid Rent</v>
          </cell>
        </row>
        <row r="13">
          <cell r="A13">
            <v>2000</v>
          </cell>
          <cell r="B13" t="str">
            <v>Accrued Liabilites</v>
          </cell>
        </row>
        <row r="14">
          <cell r="A14">
            <v>2100</v>
          </cell>
          <cell r="B14" t="str">
            <v>Account Payable</v>
          </cell>
        </row>
        <row r="15">
          <cell r="A15">
            <v>2200</v>
          </cell>
          <cell r="B15" t="str">
            <v>Accrued Expenses</v>
          </cell>
        </row>
        <row r="16">
          <cell r="A16">
            <v>2300</v>
          </cell>
          <cell r="B16" t="str">
            <v>VAT Payable</v>
          </cell>
        </row>
        <row r="17">
          <cell r="A17">
            <v>2400</v>
          </cell>
          <cell r="B17" t="str">
            <v>Bank Loan</v>
          </cell>
        </row>
        <row r="18">
          <cell r="A18">
            <v>3000</v>
          </cell>
          <cell r="B18" t="str">
            <v>Equity</v>
          </cell>
        </row>
        <row r="19">
          <cell r="A19">
            <v>3100</v>
          </cell>
          <cell r="B19" t="str">
            <v>Capital</v>
          </cell>
        </row>
        <row r="20">
          <cell r="A20">
            <v>3200</v>
          </cell>
          <cell r="B20" t="str">
            <v>Retained Earnings</v>
          </cell>
        </row>
        <row r="21">
          <cell r="A21">
            <v>3300</v>
          </cell>
          <cell r="B21" t="str">
            <v>Drawings</v>
          </cell>
        </row>
        <row r="22">
          <cell r="A22">
            <v>3900</v>
          </cell>
          <cell r="B22" t="str">
            <v>Income Summary</v>
          </cell>
        </row>
        <row r="23">
          <cell r="A23">
            <v>4000</v>
          </cell>
          <cell r="B23" t="str">
            <v>Revenue</v>
          </cell>
        </row>
        <row r="24">
          <cell r="A24">
            <v>4100</v>
          </cell>
          <cell r="B24" t="str">
            <v>Sales Revenue</v>
          </cell>
        </row>
        <row r="25">
          <cell r="A25">
            <v>4200</v>
          </cell>
          <cell r="B25" t="str">
            <v>Other Income</v>
          </cell>
        </row>
        <row r="26">
          <cell r="A26">
            <v>5000</v>
          </cell>
          <cell r="B26" t="str">
            <v>Expenses</v>
          </cell>
        </row>
        <row r="27">
          <cell r="A27">
            <v>5100</v>
          </cell>
          <cell r="B27" t="str">
            <v>Cost of Goods Sold</v>
          </cell>
        </row>
        <row r="28">
          <cell r="A28">
            <v>5200</v>
          </cell>
          <cell r="B28" t="str">
            <v>Salaries Expense</v>
          </cell>
        </row>
        <row r="29">
          <cell r="A29">
            <v>5300</v>
          </cell>
          <cell r="B29" t="str">
            <v>Rent Expense</v>
          </cell>
        </row>
        <row r="30">
          <cell r="A30">
            <v>5400</v>
          </cell>
          <cell r="B30" t="str">
            <v>Electricity Expense</v>
          </cell>
        </row>
        <row r="31">
          <cell r="A31">
            <v>5500</v>
          </cell>
          <cell r="B31" t="str">
            <v>Internet Expense</v>
          </cell>
        </row>
        <row r="32">
          <cell r="A32">
            <v>5600</v>
          </cell>
          <cell r="B32" t="str">
            <v>Transportation Expense</v>
          </cell>
        </row>
        <row r="33">
          <cell r="A33">
            <v>5700</v>
          </cell>
          <cell r="B33" t="str">
            <v>Office Supplies Expense</v>
          </cell>
        </row>
        <row r="34">
          <cell r="A34">
            <v>5800</v>
          </cell>
          <cell r="B34" t="str">
            <v>Depreciation Expense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04DEF-A55C-439E-A277-4611D2950F9A}" name="tbl_Customers" displayName="tbl_Customers" ref="A1:I21" totalsRowShown="0" headerRowDxfId="126" dataDxfId="124" headerRowBorderDxfId="125" tableBorderDxfId="123" totalsRowBorderDxfId="122">
  <autoFilter ref="A1:I21" xr:uid="{CA704DEF-A55C-439E-A277-4611D2950F9A}"/>
  <tableColumns count="9">
    <tableColumn id="1" xr3:uid="{109F87EE-5907-422B-B357-C8F15976DD7F}" name="Customer ID" dataDxfId="121"/>
    <tableColumn id="2" xr3:uid="{B17D7C1D-C719-4858-BF84-A6EF6E3A26D8}" name="Customer Name" dataDxfId="120"/>
    <tableColumn id="3" xr3:uid="{F19B3316-DC6D-45A2-AB7C-495CE0F0D98B}" name="Customer Type" dataDxfId="119"/>
    <tableColumn id="4" xr3:uid="{D45C657E-7E9E-43F3-BCFD-27AE1E5CBFF2}" name="City" dataDxfId="118"/>
    <tableColumn id="5" xr3:uid="{76A86B82-AE2B-4E4D-97EA-BFD2B2EA24D4}" name="Country" dataDxfId="117"/>
    <tableColumn id="6" xr3:uid="{F09A882A-E065-405A-BACC-A48BF43CE697}" name="Credit Limit" dataDxfId="116"/>
    <tableColumn id="7" xr3:uid="{B18FB1A5-89E0-4413-B50D-2244AF90745F}" name="Payment Terms" dataDxfId="115"/>
    <tableColumn id="8" xr3:uid="{E557C498-F596-4780-A748-DB7E9C0ABA7C}" name="SalesPerson" dataDxfId="114"/>
    <tableColumn id="9" xr3:uid="{D3F1F2D8-5F24-43C9-81B8-9420DE032D50}" name="Status" dataDxfId="1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F1ED35-E74E-4DD7-89B0-0FCF1A269474}" name="tbl_Suppliers" displayName="tbl_Suppliers" ref="A1:G16" totalsRowShown="0" headerRowDxfId="112" dataDxfId="110" headerRowBorderDxfId="111" tableBorderDxfId="109" totalsRowBorderDxfId="108">
  <autoFilter ref="A1:G16" xr:uid="{B6F1ED35-E74E-4DD7-89B0-0FCF1A269474}"/>
  <tableColumns count="7">
    <tableColumn id="1" xr3:uid="{FD82C27F-1C23-4269-9F14-F6ACE8B76D97}" name="Suppliers ID" dataDxfId="107"/>
    <tableColumn id="2" xr3:uid="{28081110-3B67-43A5-B397-5DFB1AEC70C0}" name="Suppliers Name" dataDxfId="106"/>
    <tableColumn id="3" xr3:uid="{B006CFF9-315E-4A2C-97CE-B9974779A70A}" name="Suppliers Category" dataDxfId="105"/>
    <tableColumn id="4" xr3:uid="{67D81E80-94BA-40D3-AF7D-3181F64CDD02}" name="City" dataDxfId="104"/>
    <tableColumn id="5" xr3:uid="{D3FBE07E-5301-4E42-8D86-E12E94FE1DC0}" name="Country" dataDxfId="103"/>
    <tableColumn id="6" xr3:uid="{749CDB1B-2956-4A63-A440-2AF35DE2A220}" name="Payment Terms" dataDxfId="102"/>
    <tableColumn id="7" xr3:uid="{AA65D574-5DD3-44B0-8784-7FE1F068C477}" name="Status" dataDxfId="10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1AE462-FC9C-4846-8167-74C36E67BE6F}" name="tbl_Sales" displayName="tbl_Sales" ref="A1:V16" totalsRowShown="0" headerRowDxfId="100" headerRowBorderDxfId="99" tableBorderDxfId="98" totalsRowBorderDxfId="97">
  <autoFilter ref="A1:V16" xr:uid="{491AE462-FC9C-4846-8167-74C36E67BE6F}"/>
  <tableColumns count="22">
    <tableColumn id="1" xr3:uid="{CF817634-EDE3-4E10-8D3F-49E9DC264362}" name="Invoice No" dataDxfId="0"/>
    <tableColumn id="2" xr3:uid="{AED5CA9D-5D3F-4A3D-A614-B61B84BEF110}" name="Invoice Date" dataDxfId="96"/>
    <tableColumn id="3" xr3:uid="{DB94D05E-7A18-4BA3-9F28-B1C10C5408FD}" name="Customer ID" dataDxfId="95"/>
    <tableColumn id="4" xr3:uid="{14500EE1-F5E8-4565-895E-7D4B9A8DB126}" name="Customer  Name" dataDxfId="94"/>
    <tableColumn id="5" xr3:uid="{1332D422-701C-402B-86C3-39FD2845D13B}" name="Purchase  Category" dataDxfId="93"/>
    <tableColumn id="6" xr3:uid="{BCB85244-BF1E-4AA8-8762-21CF8854B983}" name="Invoice Amount" dataDxfId="92"/>
    <tableColumn id="22" xr3:uid="{B0C738C1-D659-4B02-AA72-39A5F645BBD7}" name="Cost" dataDxfId="11"/>
    <tableColumn id="7" xr3:uid="{8A5C377F-E823-4A29-BE8F-A76C57327804}" name="Discount" dataDxfId="91"/>
    <tableColumn id="8" xr3:uid="{568597E9-B2C9-44A3-A22C-7E0CE47B1F51}" name="VAT" dataDxfId="90"/>
    <tableColumn id="9" xr3:uid="{FC970998-D1BE-497D-9316-222C88C334A8}" name="Total Amount" dataDxfId="89">
      <calculatedColumnFormula>F2-H2+I2</calculatedColumnFormula>
    </tableColumn>
    <tableColumn id="10" xr3:uid="{C0A0C375-736D-40B4-B806-A67F27206DC5}" name="Due Date" dataDxfId="88"/>
    <tableColumn id="11" xr3:uid="{B35C587E-99CC-4EBF-BA40-723C835DD2F0}" name="Payment Terms" dataDxfId="87"/>
    <tableColumn id="12" xr3:uid="{07D75935-CEA6-42B2-9020-BF92EE782734}" name="Status" dataDxfId="10"/>
    <tableColumn id="13" xr3:uid="{A5B6B6DE-5E07-4D1F-8E89-11BE368BA8E3}" name="City" dataDxfId="9"/>
    <tableColumn id="14" xr3:uid="{B5FFD767-3351-4B09-BB26-DE5F1C6CAA1F}" name="Country" dataDxfId="8"/>
    <tableColumn id="15" xr3:uid="{C058F2B2-1FF7-4113-9DAA-6630FFD7F3FC}" name="SalesPerson" dataDxfId="7"/>
    <tableColumn id="16" xr3:uid="{E1EBED81-CF29-41BA-83AB-974C4C6D8E43}" name="Product" dataDxfId="6"/>
    <tableColumn id="17" xr3:uid="{486A1F45-C72E-4504-B231-334CF80B8EE3}" name="Quantity" dataDxfId="5"/>
    <tableColumn id="18" xr3:uid="{16611590-862B-46AE-A623-59481B2595FA}" name="Unit Price" dataDxfId="4"/>
    <tableColumn id="19" xr3:uid="{202D602E-AB83-44AB-A176-0D5F0B33DAAD}" name="Cost Amount" dataDxfId="3">
      <calculatedColumnFormula>tbl_Sales[[#This Row],[Invoice Amount]]*tbl_Sales[[#This Row],[Cost]]</calculatedColumnFormula>
    </tableColumn>
    <tableColumn id="20" xr3:uid="{457221AC-16F1-4314-883A-2B6941D78036}" name="Gross Profit" dataDxfId="1">
      <calculatedColumnFormula>tbl_Sales[[#This Row],[Invoice Amount]]-tbl_Sales[[#This Row],[Cost Amount]]</calculatedColumnFormula>
    </tableColumn>
    <tableColumn id="21" xr3:uid="{395F797E-EEB0-4294-8B81-7C9705536F7B}" name="Payment Type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F098B0-9B07-44B1-B364-2BF87BB9BDAB}" name="tbl_Purchase" displayName="tbl_Purchase" ref="A1:L16" totalsRowShown="0" headerRowDxfId="86" headerRowBorderDxfId="85" tableBorderDxfId="84" totalsRowBorderDxfId="83">
  <autoFilter ref="A1:L16" xr:uid="{9DF098B0-9B07-44B1-B364-2BF87BB9BDAB}"/>
  <tableColumns count="12">
    <tableColumn id="1" xr3:uid="{A1FD8E45-F505-4738-BA16-D76B9C2B9610}" name="Invoice No" dataDxfId="82"/>
    <tableColumn id="2" xr3:uid="{B2D3554E-27E0-4E45-8F89-886D83AB1E9D}" name="Invoice Date" dataDxfId="81"/>
    <tableColumn id="3" xr3:uid="{818887B5-2851-40A4-BD55-D4E34BF57297}" name="Suppliers ID" dataDxfId="80"/>
    <tableColumn id="4" xr3:uid="{DE5AD244-CCE2-4667-BB10-BFC406B57EBE}" name="Suppliers  Name" dataDxfId="79"/>
    <tableColumn id="5" xr3:uid="{1DDCE223-4F23-429B-96AF-9AB6177D0B36}" name="Purchase  Category" dataDxfId="78"/>
    <tableColumn id="6" xr3:uid="{A5FBFADA-6B94-4815-A5C4-59EE715168EB}" name="Invoice Amount" dataDxfId="77"/>
    <tableColumn id="7" xr3:uid="{4FBD7D41-4C9A-4FA2-ADB6-30CE5695E294}" name="Discount" dataDxfId="76"/>
    <tableColumn id="8" xr3:uid="{91AA57BD-2B56-4BF6-A9C4-A93B1417BC60}" name="VAT" dataDxfId="75"/>
    <tableColumn id="9" xr3:uid="{A7C57547-B997-42F1-A43F-9B1CCEF9E3FA}" name="Total Amount" dataDxfId="74">
      <calculatedColumnFormula>F2-G2+H2</calculatedColumnFormula>
    </tableColumn>
    <tableColumn id="10" xr3:uid="{C9BC778E-47E4-4592-8E5B-664052E3F9A9}" name="Due Date" dataDxfId="73"/>
    <tableColumn id="11" xr3:uid="{D3FC6224-FF52-4434-969B-957494035C7D}" name="Payment Terms" dataDxfId="72"/>
    <tableColumn id="12" xr3:uid="{04E7FFB3-6027-41C8-A260-604E7984D54E}" name="Status" dataDxfId="7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EFD26F-2A42-4BF8-8A53-44BDB5333AAE}" name="tbl_Customer_Receipts" displayName="tbl_Customer_Receipts" ref="A1:J11" totalsRowShown="0" headerRowDxfId="70" dataDxfId="68" headerRowBorderDxfId="69" tableBorderDxfId="67" totalsRowBorderDxfId="66">
  <autoFilter ref="A1:J11" xr:uid="{89EFD26F-2A42-4BF8-8A53-44BDB5333AAE}"/>
  <tableColumns count="10">
    <tableColumn id="1" xr3:uid="{C2929139-4351-4706-A20C-174FC9D9F257}" name="Receipt No" dataDxfId="65"/>
    <tableColumn id="2" xr3:uid="{68EC260E-F155-4E7E-8A90-5FCF28424692}" name="Receipt Date" dataDxfId="64"/>
    <tableColumn id="3" xr3:uid="{D7885446-7326-44F0-AF76-0FD4C841E50A}" name="Customer ID" dataDxfId="63"/>
    <tableColumn id="4" xr3:uid="{16202396-2034-4A75-8426-5B782AF3A74B}" name="Customer  Name" dataDxfId="62"/>
    <tableColumn id="5" xr3:uid="{0BC24A05-E840-45C5-9C74-6988001274B9}" name="Invoice No" dataDxfId="61"/>
    <tableColumn id="6" xr3:uid="{D52F5736-0C6C-472C-97E5-3FF65612F193}" name="Amount Received" dataDxfId="60"/>
    <tableColumn id="7" xr3:uid="{9E57125D-EDB5-496B-AADD-26D86E793F00}" name="Payment Method" dataDxfId="59"/>
    <tableColumn id="8" xr3:uid="{06728D45-378C-47A1-B548-C60B7041BD93}" name="Bank Account" dataDxfId="58"/>
    <tableColumn id="9" xr3:uid="{0A117365-F473-4A6B-9B0E-4CFF0B784EBA}" name="Reference No" dataDxfId="57"/>
    <tableColumn id="10" xr3:uid="{46638F57-A94F-434A-96BB-EA2D242E9123}" name="Status" dataDxfId="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F05C3E-37FE-450F-B66F-BFB58AE1030F}" name="tbl_Supplier_Payments" displayName="tbl_Supplier_Payments" ref="A1:J11" totalsRowShown="0" headerRowDxfId="55" dataDxfId="53" headerRowBorderDxfId="54" tableBorderDxfId="52" totalsRowBorderDxfId="51">
  <autoFilter ref="A1:J11" xr:uid="{C4F05C3E-37FE-450F-B66F-BFB58AE1030F}"/>
  <tableColumns count="10">
    <tableColumn id="1" xr3:uid="{3CBFEC03-4A6C-45B4-9BDB-FCB0B365D682}" name="Payment No" dataDxfId="50"/>
    <tableColumn id="2" xr3:uid="{EED20970-163D-47BA-9248-B61A1B84D735}" name="Payment Date" dataDxfId="49"/>
    <tableColumn id="3" xr3:uid="{6EB8F21A-6690-41BB-BB15-76F22EA86469}" name="Supplier ID" dataDxfId="48"/>
    <tableColumn id="4" xr3:uid="{BE522F78-620A-4A13-AB93-9AB405105FA6}" name="Supplier Name" dataDxfId="47"/>
    <tableColumn id="5" xr3:uid="{63889E35-0DD3-4F56-ACC6-162F4616AB50}" name="Invoice No" dataDxfId="46"/>
    <tableColumn id="6" xr3:uid="{C312D106-E664-4DBA-8A82-540951709B8C}" name="Amount Paid" dataDxfId="45"/>
    <tableColumn id="7" xr3:uid="{56F2A4FC-1372-431B-AA2E-CE4C945E7B60}" name="Payment Method" dataDxfId="44"/>
    <tableColumn id="8" xr3:uid="{7F1388BB-F2B6-468C-ADC4-E2407B0D9590}" name="Bank Account" dataDxfId="43"/>
    <tableColumn id="9" xr3:uid="{A774CCB9-C3C0-4745-9E37-80A40FD8FEA1}" name="Reference No" dataDxfId="42"/>
    <tableColumn id="10" xr3:uid="{E3F91093-D263-459B-8E8F-EDBBB30E7516}" name="Status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FDE1BE-7288-4E0A-B44B-10BDA9AD595C}" name="tbl_COA" displayName="tbl_COA" ref="A1:G23" totalsRowShown="0" headerRowDxfId="40" headerRowBorderDxfId="39" tableBorderDxfId="38" totalsRowBorderDxfId="37">
  <autoFilter ref="A1:G23" xr:uid="{1CFDE1BE-7288-4E0A-B44B-10BDA9AD595C}"/>
  <tableColumns count="7">
    <tableColumn id="1" xr3:uid="{FFEBCA88-B1C9-47F9-8101-3050D7A84FF7}" name="Account Code" dataDxfId="36"/>
    <tableColumn id="2" xr3:uid="{4DF449C7-615C-42AD-A882-73EC75C2E4B7}" name="Account Name" dataDxfId="35"/>
    <tableColumn id="3" xr3:uid="{0B09B782-5A56-4FBF-9229-9A0BEC9641C5}" name="Account Type" dataDxfId="34"/>
    <tableColumn id="4" xr3:uid="{5BFAC815-4B3D-4F08-8789-1C76FEE285E7}" name="Accounts Category" dataDxfId="33"/>
    <tableColumn id="5" xr3:uid="{3618119A-2F54-493F-B2C6-254E3DBA93CD}" name="Normal Balance" dataDxfId="32"/>
    <tableColumn id="6" xr3:uid="{605F975A-ACC5-40F8-95EE-F26C13040CBA}" name="Parent Account" dataDxfId="31"/>
    <tableColumn id="7" xr3:uid="{C3478137-E467-4094-A3DA-DD29FDF4A598}" name="Status" dataDxfId="3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1F234F-58D3-4DDC-9257-EBF8532A8A5E}" name="Table9" displayName="Table9" ref="A1:E21" totalsRowShown="0" headerRowBorderDxfId="29" tableBorderDxfId="28" totalsRowBorderDxfId="27">
  <autoFilter ref="A1:E21" xr:uid="{1F1F234F-58D3-4DDC-9257-EBF8532A8A5E}"/>
  <tableColumns count="5">
    <tableColumn id="1" xr3:uid="{60DE953F-97C2-482A-B136-5229EA2007F9}" name="Account Code" dataDxfId="26"/>
    <tableColumn id="2" xr3:uid="{86D05BE9-F594-4842-A696-63537EBC572C}" name="Account Name" dataDxfId="25">
      <calculatedColumnFormula>_xlfn.XLOOKUP(A2,'[1]Chart of Accounts'!A:A,'[1]Chart of Accounts'!B:B,"")</calculatedColumnFormula>
    </tableColumn>
    <tableColumn id="3" xr3:uid="{4A33C05F-FA65-4B7C-8409-F741486F4917}" name="Account Type" dataDxfId="24"/>
    <tableColumn id="4" xr3:uid="{A258BE7B-1269-45A2-B6A4-774588764854}" name="Debit" dataDxfId="23" dataCellStyle="Comma"/>
    <tableColumn id="5" xr3:uid="{A23645CE-BF6C-4AB0-904B-329FFAF0A2BD}" name="Credit" dataDxfId="22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9860D70-87FE-4854-998A-75BE05EC0B68}" name="Table11" displayName="Table11" ref="A1:B18" totalsRowShown="0" headerRowBorderDxfId="21" tableBorderDxfId="20" totalsRowBorderDxfId="19">
  <autoFilter ref="A1:B18" xr:uid="{19860D70-87FE-4854-998A-75BE05EC0B68}"/>
  <tableColumns count="2">
    <tableColumn id="1" xr3:uid="{49E3F3E5-0C6B-44B8-86BF-4C8A77749231}" name="Account Name" dataDxfId="18"/>
    <tableColumn id="2" xr3:uid="{8CE44881-D07E-4BFC-8CE8-F1639D9E07CC}" name="Amount" dataDxfId="17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B57D8E2-318E-4061-93C4-5096A38D8170}" name="Table13" displayName="Table13" ref="A1:B23" totalsRowShown="0" headerRowBorderDxfId="16" tableBorderDxfId="15" totalsRowBorderDxfId="14">
  <autoFilter ref="A1:B23" xr:uid="{9B57D8E2-318E-4061-93C4-5096A38D8170}"/>
  <tableColumns count="2">
    <tableColumn id="1" xr3:uid="{9C4BC3C0-4E8E-4165-8239-B1DE37571CE3}" name="Account Name" dataDxfId="13"/>
    <tableColumn id="2" xr3:uid="{FC6DA96E-C9DB-49BD-89C1-52DA9D2DEA9F}" name="Amount" dataDxfId="12" dataCellStyle="Comm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8B675C8-CF64-4613-89C0-816D89246799}" name="Table14" displayName="Table14" ref="A1:B21" totalsRowShown="0" headerRowBorderDxfId="131" tableBorderDxfId="130" totalsRowBorderDxfId="129">
  <autoFilter ref="A1:B21" xr:uid="{A8B675C8-CF64-4613-89C0-816D89246799}"/>
  <tableColumns count="2">
    <tableColumn id="1" xr3:uid="{B8509EE2-28DB-42D4-97B4-5E0D5C56AC39}" name="Cash Flow Item" dataDxfId="128"/>
    <tableColumn id="2" xr3:uid="{C9FAF7DB-61D3-462B-B67A-6C5F93BD211B}" name="Amount" dataDxfId="127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5952-103E-48DF-922D-4821BC549840}">
  <sheetPr>
    <tabColor rgb="FFFF0000"/>
  </sheetPr>
  <dimension ref="A1:I21"/>
  <sheetViews>
    <sheetView workbookViewId="0">
      <selection activeCell="B12" sqref="B12:B16"/>
    </sheetView>
  </sheetViews>
  <sheetFormatPr defaultRowHeight="18" x14ac:dyDescent="0.3"/>
  <cols>
    <col min="1" max="1" width="19" style="2" bestFit="1" customWidth="1"/>
    <col min="2" max="2" width="24.6640625" style="2" bestFit="1" customWidth="1"/>
    <col min="3" max="3" width="21.6640625" style="2" bestFit="1" customWidth="1"/>
    <col min="4" max="5" width="16.88671875" style="2" customWidth="1"/>
    <col min="6" max="6" width="19.6640625" style="11" bestFit="1" customWidth="1"/>
    <col min="7" max="8" width="23.109375" style="2" customWidth="1"/>
    <col min="9" max="9" width="16.88671875" style="2" customWidth="1"/>
  </cols>
  <sheetData>
    <row r="1" spans="1:9" x14ac:dyDescent="0.3">
      <c r="A1" s="20" t="s">
        <v>0</v>
      </c>
      <c r="B1" s="21" t="s">
        <v>1</v>
      </c>
      <c r="C1" s="21" t="s">
        <v>39</v>
      </c>
      <c r="D1" s="21" t="s">
        <v>2</v>
      </c>
      <c r="E1" s="21" t="s">
        <v>3</v>
      </c>
      <c r="F1" s="22" t="s">
        <v>4</v>
      </c>
      <c r="G1" s="21" t="s">
        <v>5</v>
      </c>
      <c r="H1" s="21" t="s">
        <v>37</v>
      </c>
      <c r="I1" s="23" t="s">
        <v>6</v>
      </c>
    </row>
    <row r="2" spans="1:9" x14ac:dyDescent="0.3">
      <c r="A2" s="19" t="s">
        <v>83</v>
      </c>
      <c r="B2" s="9" t="s">
        <v>103</v>
      </c>
      <c r="C2" s="9" t="s">
        <v>123</v>
      </c>
      <c r="D2" s="4" t="s">
        <v>126</v>
      </c>
      <c r="E2" s="4" t="s">
        <v>130</v>
      </c>
      <c r="F2" s="10">
        <v>100000</v>
      </c>
      <c r="G2" s="4" t="s">
        <v>131</v>
      </c>
      <c r="H2" s="4" t="s">
        <v>134</v>
      </c>
      <c r="I2" s="16" t="s">
        <v>82</v>
      </c>
    </row>
    <row r="3" spans="1:9" x14ac:dyDescent="0.3">
      <c r="A3" s="19" t="s">
        <v>84</v>
      </c>
      <c r="B3" s="9" t="s">
        <v>104</v>
      </c>
      <c r="C3" s="9" t="s">
        <v>123</v>
      </c>
      <c r="D3" s="4" t="s">
        <v>127</v>
      </c>
      <c r="E3" s="4" t="s">
        <v>130</v>
      </c>
      <c r="F3" s="10">
        <v>75000</v>
      </c>
      <c r="G3" s="4" t="s">
        <v>132</v>
      </c>
      <c r="H3" s="4" t="s">
        <v>135</v>
      </c>
      <c r="I3" s="16" t="s">
        <v>82</v>
      </c>
    </row>
    <row r="4" spans="1:9" x14ac:dyDescent="0.3">
      <c r="A4" s="19" t="s">
        <v>85</v>
      </c>
      <c r="B4" s="9" t="s">
        <v>105</v>
      </c>
      <c r="C4" s="9" t="s">
        <v>125</v>
      </c>
      <c r="D4" s="4" t="s">
        <v>128</v>
      </c>
      <c r="E4" s="4" t="s">
        <v>130</v>
      </c>
      <c r="F4" s="10">
        <v>30000</v>
      </c>
      <c r="G4" s="4" t="s">
        <v>133</v>
      </c>
      <c r="H4" s="4" t="s">
        <v>134</v>
      </c>
      <c r="I4" s="16" t="s">
        <v>82</v>
      </c>
    </row>
    <row r="5" spans="1:9" x14ac:dyDescent="0.3">
      <c r="A5" s="19" t="s">
        <v>86</v>
      </c>
      <c r="B5" s="9" t="s">
        <v>106</v>
      </c>
      <c r="C5" s="9" t="s">
        <v>124</v>
      </c>
      <c r="D5" s="4" t="s">
        <v>126</v>
      </c>
      <c r="E5" s="4" t="s">
        <v>130</v>
      </c>
      <c r="F5" s="10">
        <v>90000</v>
      </c>
      <c r="G5" s="4" t="s">
        <v>131</v>
      </c>
      <c r="H5" s="4" t="s">
        <v>136</v>
      </c>
      <c r="I5" s="16" t="s">
        <v>82</v>
      </c>
    </row>
    <row r="6" spans="1:9" x14ac:dyDescent="0.3">
      <c r="A6" s="19" t="s">
        <v>87</v>
      </c>
      <c r="B6" s="9" t="s">
        <v>107</v>
      </c>
      <c r="C6" s="9" t="s">
        <v>124</v>
      </c>
      <c r="D6" s="4" t="s">
        <v>129</v>
      </c>
      <c r="E6" s="4" t="s">
        <v>130</v>
      </c>
      <c r="F6" s="10">
        <v>50000</v>
      </c>
      <c r="G6" s="4" t="s">
        <v>132</v>
      </c>
      <c r="H6" s="4" t="s">
        <v>135</v>
      </c>
      <c r="I6" s="16" t="s">
        <v>82</v>
      </c>
    </row>
    <row r="7" spans="1:9" x14ac:dyDescent="0.3">
      <c r="A7" s="19" t="s">
        <v>88</v>
      </c>
      <c r="B7" s="9" t="s">
        <v>108</v>
      </c>
      <c r="C7" s="9" t="s">
        <v>123</v>
      </c>
      <c r="D7" s="4" t="s">
        <v>126</v>
      </c>
      <c r="E7" s="4" t="s">
        <v>130</v>
      </c>
      <c r="F7" s="10">
        <v>120000</v>
      </c>
      <c r="G7" s="4" t="s">
        <v>131</v>
      </c>
      <c r="H7" s="4" t="s">
        <v>136</v>
      </c>
      <c r="I7" s="16" t="s">
        <v>82</v>
      </c>
    </row>
    <row r="8" spans="1:9" x14ac:dyDescent="0.3">
      <c r="A8" s="19" t="s">
        <v>89</v>
      </c>
      <c r="B8" s="9" t="s">
        <v>109</v>
      </c>
      <c r="C8" s="9" t="s">
        <v>125</v>
      </c>
      <c r="D8" s="4" t="s">
        <v>127</v>
      </c>
      <c r="E8" s="4" t="s">
        <v>130</v>
      </c>
      <c r="F8" s="10">
        <v>25000</v>
      </c>
      <c r="G8" s="4" t="s">
        <v>133</v>
      </c>
      <c r="H8" s="4" t="s">
        <v>134</v>
      </c>
      <c r="I8" s="16" t="s">
        <v>82</v>
      </c>
    </row>
    <row r="9" spans="1:9" x14ac:dyDescent="0.3">
      <c r="A9" s="19" t="s">
        <v>90</v>
      </c>
      <c r="B9" s="9" t="s">
        <v>110</v>
      </c>
      <c r="C9" s="9" t="s">
        <v>123</v>
      </c>
      <c r="D9" s="4" t="s">
        <v>126</v>
      </c>
      <c r="E9" s="4" t="s">
        <v>130</v>
      </c>
      <c r="F9" s="10">
        <v>80000</v>
      </c>
      <c r="G9" s="4" t="s">
        <v>132</v>
      </c>
      <c r="H9" s="4" t="s">
        <v>135</v>
      </c>
      <c r="I9" s="16" t="s">
        <v>82</v>
      </c>
    </row>
    <row r="10" spans="1:9" x14ac:dyDescent="0.3">
      <c r="A10" s="19" t="s">
        <v>91</v>
      </c>
      <c r="B10" s="9" t="s">
        <v>111</v>
      </c>
      <c r="C10" s="9" t="s">
        <v>124</v>
      </c>
      <c r="D10" s="4" t="s">
        <v>128</v>
      </c>
      <c r="E10" s="4" t="s">
        <v>130</v>
      </c>
      <c r="F10" s="10">
        <v>60000</v>
      </c>
      <c r="G10" s="4" t="s">
        <v>132</v>
      </c>
      <c r="H10" s="4" t="s">
        <v>136</v>
      </c>
      <c r="I10" s="16" t="s">
        <v>82</v>
      </c>
    </row>
    <row r="11" spans="1:9" x14ac:dyDescent="0.3">
      <c r="A11" s="19" t="s">
        <v>92</v>
      </c>
      <c r="B11" s="9" t="s">
        <v>112</v>
      </c>
      <c r="C11" s="9" t="s">
        <v>125</v>
      </c>
      <c r="D11" s="4" t="s">
        <v>126</v>
      </c>
      <c r="E11" s="4" t="s">
        <v>130</v>
      </c>
      <c r="F11" s="10">
        <v>35000</v>
      </c>
      <c r="G11" s="4" t="s">
        <v>133</v>
      </c>
      <c r="H11" s="4" t="s">
        <v>134</v>
      </c>
      <c r="I11" s="16" t="s">
        <v>82</v>
      </c>
    </row>
    <row r="12" spans="1:9" x14ac:dyDescent="0.3">
      <c r="A12" s="19" t="s">
        <v>93</v>
      </c>
      <c r="B12" s="9" t="s">
        <v>113</v>
      </c>
      <c r="C12" s="9" t="s">
        <v>123</v>
      </c>
      <c r="D12" s="4" t="s">
        <v>127</v>
      </c>
      <c r="E12" s="4" t="s">
        <v>130</v>
      </c>
      <c r="F12" s="10">
        <v>95000</v>
      </c>
      <c r="G12" s="4" t="s">
        <v>131</v>
      </c>
      <c r="H12" s="4" t="s">
        <v>135</v>
      </c>
      <c r="I12" s="16" t="s">
        <v>82</v>
      </c>
    </row>
    <row r="13" spans="1:9" x14ac:dyDescent="0.3">
      <c r="A13" s="19" t="s">
        <v>94</v>
      </c>
      <c r="B13" s="9" t="s">
        <v>114</v>
      </c>
      <c r="C13" s="9" t="s">
        <v>123</v>
      </c>
      <c r="D13" s="4" t="s">
        <v>126</v>
      </c>
      <c r="E13" s="4" t="s">
        <v>130</v>
      </c>
      <c r="F13" s="10">
        <v>70000</v>
      </c>
      <c r="G13" s="4" t="s">
        <v>132</v>
      </c>
      <c r="H13" s="4" t="s">
        <v>136</v>
      </c>
      <c r="I13" s="16" t="s">
        <v>82</v>
      </c>
    </row>
    <row r="14" spans="1:9" x14ac:dyDescent="0.3">
      <c r="A14" s="19" t="s">
        <v>95</v>
      </c>
      <c r="B14" s="9" t="s">
        <v>115</v>
      </c>
      <c r="C14" s="9" t="s">
        <v>125</v>
      </c>
      <c r="D14" s="4" t="s">
        <v>129</v>
      </c>
      <c r="E14" s="4" t="s">
        <v>130</v>
      </c>
      <c r="F14" s="10">
        <v>20000</v>
      </c>
      <c r="G14" s="4" t="s">
        <v>133</v>
      </c>
      <c r="H14" s="4" t="s">
        <v>134</v>
      </c>
      <c r="I14" s="16" t="s">
        <v>82</v>
      </c>
    </row>
    <row r="15" spans="1:9" x14ac:dyDescent="0.3">
      <c r="A15" s="19" t="s">
        <v>96</v>
      </c>
      <c r="B15" s="9" t="s">
        <v>116</v>
      </c>
      <c r="C15" s="9" t="s">
        <v>124</v>
      </c>
      <c r="D15" s="4" t="s">
        <v>126</v>
      </c>
      <c r="E15" s="4" t="s">
        <v>130</v>
      </c>
      <c r="F15" s="10">
        <v>85000</v>
      </c>
      <c r="G15" s="4" t="s">
        <v>131</v>
      </c>
      <c r="H15" s="4" t="s">
        <v>135</v>
      </c>
      <c r="I15" s="16" t="s">
        <v>82</v>
      </c>
    </row>
    <row r="16" spans="1:9" x14ac:dyDescent="0.3">
      <c r="A16" s="19" t="s">
        <v>97</v>
      </c>
      <c r="B16" s="9" t="s">
        <v>117</v>
      </c>
      <c r="C16" s="9" t="s">
        <v>125</v>
      </c>
      <c r="D16" s="4" t="s">
        <v>128</v>
      </c>
      <c r="E16" s="4" t="s">
        <v>130</v>
      </c>
      <c r="F16" s="10">
        <v>30000</v>
      </c>
      <c r="G16" s="4" t="s">
        <v>133</v>
      </c>
      <c r="H16" s="4" t="s">
        <v>136</v>
      </c>
      <c r="I16" s="16" t="s">
        <v>82</v>
      </c>
    </row>
    <row r="17" spans="1:9" x14ac:dyDescent="0.3">
      <c r="A17" s="19" t="s">
        <v>98</v>
      </c>
      <c r="B17" s="9" t="s">
        <v>118</v>
      </c>
      <c r="C17" s="9" t="s">
        <v>123</v>
      </c>
      <c r="D17" s="4" t="s">
        <v>127</v>
      </c>
      <c r="E17" s="4" t="s">
        <v>130</v>
      </c>
      <c r="F17" s="10">
        <v>110000</v>
      </c>
      <c r="G17" s="4" t="s">
        <v>131</v>
      </c>
      <c r="H17" s="4" t="s">
        <v>134</v>
      </c>
      <c r="I17" s="16" t="s">
        <v>82</v>
      </c>
    </row>
    <row r="18" spans="1:9" x14ac:dyDescent="0.3">
      <c r="A18" s="19" t="s">
        <v>99</v>
      </c>
      <c r="B18" s="9" t="s">
        <v>119</v>
      </c>
      <c r="C18" s="9" t="s">
        <v>123</v>
      </c>
      <c r="D18" s="4" t="s">
        <v>126</v>
      </c>
      <c r="E18" s="4" t="s">
        <v>130</v>
      </c>
      <c r="F18" s="10">
        <v>65000</v>
      </c>
      <c r="G18" s="4" t="s">
        <v>132</v>
      </c>
      <c r="H18" s="4" t="s">
        <v>135</v>
      </c>
      <c r="I18" s="16" t="s">
        <v>82</v>
      </c>
    </row>
    <row r="19" spans="1:9" x14ac:dyDescent="0.3">
      <c r="A19" s="19" t="s">
        <v>100</v>
      </c>
      <c r="B19" s="9" t="s">
        <v>120</v>
      </c>
      <c r="C19" s="9" t="s">
        <v>124</v>
      </c>
      <c r="D19" s="4" t="s">
        <v>126</v>
      </c>
      <c r="E19" s="4" t="s">
        <v>130</v>
      </c>
      <c r="F19" s="10">
        <v>100000</v>
      </c>
      <c r="G19" s="4" t="s">
        <v>131</v>
      </c>
      <c r="H19" s="4" t="s">
        <v>136</v>
      </c>
      <c r="I19" s="16" t="s">
        <v>82</v>
      </c>
    </row>
    <row r="20" spans="1:9" x14ac:dyDescent="0.3">
      <c r="A20" s="19" t="s">
        <v>101</v>
      </c>
      <c r="B20" s="9" t="s">
        <v>121</v>
      </c>
      <c r="C20" s="9" t="s">
        <v>125</v>
      </c>
      <c r="D20" s="4" t="s">
        <v>128</v>
      </c>
      <c r="E20" s="4" t="s">
        <v>130</v>
      </c>
      <c r="F20" s="10">
        <v>40000</v>
      </c>
      <c r="G20" s="4" t="s">
        <v>133</v>
      </c>
      <c r="H20" s="4" t="s">
        <v>134</v>
      </c>
      <c r="I20" s="16" t="s">
        <v>82</v>
      </c>
    </row>
    <row r="21" spans="1:9" x14ac:dyDescent="0.3">
      <c r="A21" s="24" t="s">
        <v>102</v>
      </c>
      <c r="B21" s="25" t="s">
        <v>122</v>
      </c>
      <c r="C21" s="25" t="s">
        <v>123</v>
      </c>
      <c r="D21" s="26" t="s">
        <v>128</v>
      </c>
      <c r="E21" s="26" t="s">
        <v>130</v>
      </c>
      <c r="F21" s="27">
        <v>90000</v>
      </c>
      <c r="G21" s="26" t="s">
        <v>132</v>
      </c>
      <c r="H21" s="26" t="s">
        <v>135</v>
      </c>
      <c r="I21" s="28" t="s">
        <v>82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6C6B-C606-40D4-A4B9-A414D90EBE2C}">
  <sheetPr>
    <tabColor rgb="FFFFFF00"/>
  </sheetPr>
  <dimension ref="A1:G16"/>
  <sheetViews>
    <sheetView workbookViewId="0">
      <selection activeCell="B7" sqref="B7"/>
    </sheetView>
  </sheetViews>
  <sheetFormatPr defaultRowHeight="14.4" x14ac:dyDescent="0.3"/>
  <cols>
    <col min="1" max="1" width="18.44140625" bestFit="1" customWidth="1"/>
    <col min="2" max="2" width="36" bestFit="1" customWidth="1"/>
    <col min="3" max="3" width="28.109375" customWidth="1"/>
    <col min="4" max="5" width="19.6640625" customWidth="1"/>
    <col min="6" max="6" width="22.109375" bestFit="1" customWidth="1"/>
    <col min="7" max="7" width="19.6640625" customWidth="1"/>
  </cols>
  <sheetData>
    <row r="1" spans="1:7" ht="18" x14ac:dyDescent="0.3">
      <c r="A1" s="20" t="s">
        <v>7</v>
      </c>
      <c r="B1" s="21" t="s">
        <v>8</v>
      </c>
      <c r="C1" s="21" t="s">
        <v>291</v>
      </c>
      <c r="D1" s="21" t="s">
        <v>2</v>
      </c>
      <c r="E1" s="21" t="s">
        <v>3</v>
      </c>
      <c r="F1" s="21" t="s">
        <v>5</v>
      </c>
      <c r="G1" s="23" t="s">
        <v>6</v>
      </c>
    </row>
    <row r="2" spans="1:7" ht="18" x14ac:dyDescent="0.3">
      <c r="A2" s="19" t="s">
        <v>137</v>
      </c>
      <c r="B2" s="9" t="s">
        <v>152</v>
      </c>
      <c r="C2" s="9" t="s">
        <v>167</v>
      </c>
      <c r="D2" s="4" t="s">
        <v>126</v>
      </c>
      <c r="E2" s="4" t="s">
        <v>130</v>
      </c>
      <c r="F2" s="4" t="s">
        <v>131</v>
      </c>
      <c r="G2" s="16" t="s">
        <v>82</v>
      </c>
    </row>
    <row r="3" spans="1:7" ht="18" x14ac:dyDescent="0.3">
      <c r="A3" s="19" t="s">
        <v>138</v>
      </c>
      <c r="B3" s="9" t="s">
        <v>153</v>
      </c>
      <c r="C3" s="9" t="s">
        <v>168</v>
      </c>
      <c r="D3" s="4" t="s">
        <v>127</v>
      </c>
      <c r="E3" s="4" t="s">
        <v>130</v>
      </c>
      <c r="F3" s="4" t="s">
        <v>132</v>
      </c>
      <c r="G3" s="16" t="s">
        <v>82</v>
      </c>
    </row>
    <row r="4" spans="1:7" ht="18" x14ac:dyDescent="0.3">
      <c r="A4" s="19" t="s">
        <v>139</v>
      </c>
      <c r="B4" s="9" t="s">
        <v>154</v>
      </c>
      <c r="C4" s="9" t="s">
        <v>169</v>
      </c>
      <c r="D4" s="4" t="s">
        <v>126</v>
      </c>
      <c r="E4" s="4" t="s">
        <v>130</v>
      </c>
      <c r="F4" s="4" t="s">
        <v>131</v>
      </c>
      <c r="G4" s="16" t="s">
        <v>82</v>
      </c>
    </row>
    <row r="5" spans="1:7" ht="18" x14ac:dyDescent="0.3">
      <c r="A5" s="19" t="s">
        <v>140</v>
      </c>
      <c r="B5" s="9" t="s">
        <v>155</v>
      </c>
      <c r="C5" s="9" t="s">
        <v>170</v>
      </c>
      <c r="D5" s="4" t="s">
        <v>128</v>
      </c>
      <c r="E5" s="4" t="s">
        <v>130</v>
      </c>
      <c r="F5" s="4" t="s">
        <v>133</v>
      </c>
      <c r="G5" s="16" t="s">
        <v>82</v>
      </c>
    </row>
    <row r="6" spans="1:7" ht="18" x14ac:dyDescent="0.3">
      <c r="A6" s="19" t="s">
        <v>141</v>
      </c>
      <c r="B6" s="9" t="s">
        <v>156</v>
      </c>
      <c r="C6" s="9" t="s">
        <v>171</v>
      </c>
      <c r="D6" s="4" t="s">
        <v>126</v>
      </c>
      <c r="E6" s="4" t="s">
        <v>130</v>
      </c>
      <c r="F6" s="4" t="s">
        <v>132</v>
      </c>
      <c r="G6" s="16" t="s">
        <v>82</v>
      </c>
    </row>
    <row r="7" spans="1:7" ht="18" x14ac:dyDescent="0.3">
      <c r="A7" s="19" t="s">
        <v>142</v>
      </c>
      <c r="B7" s="9" t="s">
        <v>157</v>
      </c>
      <c r="C7" s="9" t="s">
        <v>172</v>
      </c>
      <c r="D7" s="4" t="s">
        <v>127</v>
      </c>
      <c r="E7" s="4" t="s">
        <v>130</v>
      </c>
      <c r="F7" s="4" t="s">
        <v>131</v>
      </c>
      <c r="G7" s="16" t="s">
        <v>82</v>
      </c>
    </row>
    <row r="8" spans="1:7" ht="18" x14ac:dyDescent="0.3">
      <c r="A8" s="19" t="s">
        <v>143</v>
      </c>
      <c r="B8" s="9" t="s">
        <v>158</v>
      </c>
      <c r="C8" s="9" t="s">
        <v>173</v>
      </c>
      <c r="D8" s="4" t="s">
        <v>128</v>
      </c>
      <c r="E8" s="4" t="s">
        <v>130</v>
      </c>
      <c r="F8" s="4" t="s">
        <v>132</v>
      </c>
      <c r="G8" s="16" t="s">
        <v>82</v>
      </c>
    </row>
    <row r="9" spans="1:7" ht="18" x14ac:dyDescent="0.3">
      <c r="A9" s="19" t="s">
        <v>144</v>
      </c>
      <c r="B9" s="9" t="s">
        <v>159</v>
      </c>
      <c r="C9" s="9" t="s">
        <v>174</v>
      </c>
      <c r="D9" s="4" t="s">
        <v>126</v>
      </c>
      <c r="E9" s="4" t="s">
        <v>130</v>
      </c>
      <c r="F9" s="4" t="s">
        <v>133</v>
      </c>
      <c r="G9" s="16" t="s">
        <v>82</v>
      </c>
    </row>
    <row r="10" spans="1:7" ht="18" x14ac:dyDescent="0.3">
      <c r="A10" s="19" t="s">
        <v>145</v>
      </c>
      <c r="B10" s="9" t="s">
        <v>160</v>
      </c>
      <c r="C10" s="9" t="s">
        <v>168</v>
      </c>
      <c r="D10" s="4" t="s">
        <v>129</v>
      </c>
      <c r="E10" s="4" t="s">
        <v>130</v>
      </c>
      <c r="F10" s="4" t="s">
        <v>132</v>
      </c>
      <c r="G10" s="16" t="s">
        <v>82</v>
      </c>
    </row>
    <row r="11" spans="1:7" ht="18" x14ac:dyDescent="0.3">
      <c r="A11" s="19" t="s">
        <v>146</v>
      </c>
      <c r="B11" s="9" t="s">
        <v>161</v>
      </c>
      <c r="C11" s="9" t="s">
        <v>175</v>
      </c>
      <c r="D11" s="4" t="s">
        <v>127</v>
      </c>
      <c r="E11" s="4" t="s">
        <v>130</v>
      </c>
      <c r="F11" s="4" t="s">
        <v>131</v>
      </c>
      <c r="G11" s="16" t="s">
        <v>82</v>
      </c>
    </row>
    <row r="12" spans="1:7" ht="18" x14ac:dyDescent="0.3">
      <c r="A12" s="19" t="s">
        <v>147</v>
      </c>
      <c r="B12" s="9" t="s">
        <v>162</v>
      </c>
      <c r="C12" s="9" t="s">
        <v>176</v>
      </c>
      <c r="D12" s="4" t="s">
        <v>126</v>
      </c>
      <c r="E12" s="4" t="s">
        <v>130</v>
      </c>
      <c r="F12" s="4" t="s">
        <v>132</v>
      </c>
      <c r="G12" s="16" t="s">
        <v>82</v>
      </c>
    </row>
    <row r="13" spans="1:7" ht="18" x14ac:dyDescent="0.3">
      <c r="A13" s="19" t="s">
        <v>148</v>
      </c>
      <c r="B13" s="9" t="s">
        <v>163</v>
      </c>
      <c r="C13" s="9" t="s">
        <v>171</v>
      </c>
      <c r="D13" s="4" t="s">
        <v>128</v>
      </c>
      <c r="E13" s="4" t="s">
        <v>130</v>
      </c>
      <c r="F13" s="4" t="s">
        <v>133</v>
      </c>
      <c r="G13" s="16" t="s">
        <v>82</v>
      </c>
    </row>
    <row r="14" spans="1:7" ht="18" x14ac:dyDescent="0.3">
      <c r="A14" s="19" t="s">
        <v>149</v>
      </c>
      <c r="B14" s="9" t="s">
        <v>164</v>
      </c>
      <c r="C14" s="9" t="s">
        <v>170</v>
      </c>
      <c r="D14" s="4" t="s">
        <v>126</v>
      </c>
      <c r="E14" s="4" t="s">
        <v>130</v>
      </c>
      <c r="F14" s="4" t="s">
        <v>131</v>
      </c>
      <c r="G14" s="16" t="s">
        <v>82</v>
      </c>
    </row>
    <row r="15" spans="1:7" ht="18" x14ac:dyDescent="0.3">
      <c r="A15" s="19" t="s">
        <v>150</v>
      </c>
      <c r="B15" s="9" t="s">
        <v>165</v>
      </c>
      <c r="C15" s="9" t="s">
        <v>169</v>
      </c>
      <c r="D15" s="4" t="s">
        <v>127</v>
      </c>
      <c r="E15" s="4" t="s">
        <v>130</v>
      </c>
      <c r="F15" s="4" t="s">
        <v>132</v>
      </c>
      <c r="G15" s="16" t="s">
        <v>82</v>
      </c>
    </row>
    <row r="16" spans="1:7" ht="18" x14ac:dyDescent="0.3">
      <c r="A16" s="24" t="s">
        <v>151</v>
      </c>
      <c r="B16" s="25" t="s">
        <v>166</v>
      </c>
      <c r="C16" s="25" t="s">
        <v>176</v>
      </c>
      <c r="D16" s="26" t="s">
        <v>126</v>
      </c>
      <c r="E16" s="26" t="s">
        <v>130</v>
      </c>
      <c r="F16" s="26" t="s">
        <v>133</v>
      </c>
      <c r="G16" s="28" t="s">
        <v>82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BACC-F1BA-4AB6-A2EC-0D4615BB4941}">
  <sheetPr>
    <tabColor theme="6" tint="0.39997558519241921"/>
  </sheetPr>
  <dimension ref="A1:V16"/>
  <sheetViews>
    <sheetView tabSelected="1" workbookViewId="0">
      <selection sqref="A1:A1048576"/>
    </sheetView>
  </sheetViews>
  <sheetFormatPr defaultRowHeight="18" x14ac:dyDescent="0.35"/>
  <cols>
    <col min="1" max="1" width="19.6640625" style="87" customWidth="1"/>
    <col min="2" max="2" width="19.6640625" style="13" customWidth="1"/>
    <col min="3" max="3" width="19.6640625" customWidth="1"/>
    <col min="4" max="4" width="36" bestFit="1" customWidth="1"/>
    <col min="5" max="5" width="26.21875" bestFit="1" customWidth="1"/>
    <col min="6" max="6" width="23.6640625" style="15" bestFit="1" customWidth="1"/>
    <col min="7" max="7" width="12" style="80" bestFit="1" customWidth="1"/>
    <col min="8" max="8" width="19.6640625" customWidth="1"/>
    <col min="9" max="9" width="10.88671875" customWidth="1"/>
    <col min="10" max="10" width="21.109375" customWidth="1"/>
    <col min="11" max="11" width="19.6640625" style="13" customWidth="1"/>
    <col min="12" max="12" width="22.109375" bestFit="1" customWidth="1"/>
    <col min="13" max="13" width="21.109375" customWidth="1"/>
    <col min="14" max="15" width="13.44140625" style="3" bestFit="1" customWidth="1"/>
    <col min="16" max="16" width="18.88671875" style="3" bestFit="1" customWidth="1"/>
    <col min="17" max="17" width="28.109375" style="3" bestFit="1" customWidth="1"/>
    <col min="18" max="18" width="14.33203125" style="82" bestFit="1" customWidth="1"/>
    <col min="19" max="19" width="15.77734375" style="83" bestFit="1" customWidth="1"/>
    <col min="20" max="20" width="19.33203125" style="83" bestFit="1" customWidth="1"/>
    <col min="21" max="21" width="18.21875" style="83" bestFit="1" customWidth="1"/>
    <col min="22" max="22" width="20.21875" style="3" bestFit="1" customWidth="1"/>
  </cols>
  <sheetData>
    <row r="1" spans="1:22" x14ac:dyDescent="0.3">
      <c r="A1" s="84" t="s">
        <v>9</v>
      </c>
      <c r="B1" s="30" t="s">
        <v>10</v>
      </c>
      <c r="C1" s="21" t="s">
        <v>0</v>
      </c>
      <c r="D1" s="21" t="s">
        <v>11</v>
      </c>
      <c r="E1" s="21" t="s">
        <v>196</v>
      </c>
      <c r="F1" s="22" t="s">
        <v>13</v>
      </c>
      <c r="G1" s="78" t="s">
        <v>295</v>
      </c>
      <c r="H1" s="21" t="s">
        <v>38</v>
      </c>
      <c r="I1" s="21" t="s">
        <v>14</v>
      </c>
      <c r="J1" s="21" t="s">
        <v>15</v>
      </c>
      <c r="K1" s="30" t="s">
        <v>12</v>
      </c>
      <c r="L1" s="21" t="s">
        <v>5</v>
      </c>
      <c r="M1" s="23" t="s">
        <v>6</v>
      </c>
      <c r="N1" s="21" t="s">
        <v>2</v>
      </c>
      <c r="O1" s="21" t="s">
        <v>3</v>
      </c>
      <c r="P1" s="21" t="s">
        <v>37</v>
      </c>
      <c r="Q1" s="21" t="s">
        <v>285</v>
      </c>
      <c r="R1" s="74" t="s">
        <v>286</v>
      </c>
      <c r="S1" s="22" t="s">
        <v>292</v>
      </c>
      <c r="T1" s="22" t="s">
        <v>287</v>
      </c>
      <c r="U1" s="22" t="s">
        <v>251</v>
      </c>
      <c r="V1" s="21" t="s">
        <v>288</v>
      </c>
    </row>
    <row r="2" spans="1:22" x14ac:dyDescent="0.35">
      <c r="A2" s="85" t="s">
        <v>181</v>
      </c>
      <c r="B2" s="12">
        <v>46024</v>
      </c>
      <c r="C2" s="16" t="s">
        <v>83</v>
      </c>
      <c r="D2" s="18" t="s">
        <v>152</v>
      </c>
      <c r="E2" s="18" t="s">
        <v>167</v>
      </c>
      <c r="F2" s="14">
        <f>tbl_Sales[[#This Row],[Unit Price]]*tbl_Sales[[#This Row],[Quantity]]</f>
        <v>40000</v>
      </c>
      <c r="G2" s="77">
        <v>0.7</v>
      </c>
      <c r="H2" s="8">
        <v>0</v>
      </c>
      <c r="I2" s="8">
        <v>2000</v>
      </c>
      <c r="J2" s="14">
        <f>F2-H2+I2</f>
        <v>42000</v>
      </c>
      <c r="K2" s="12">
        <v>46083</v>
      </c>
      <c r="L2" s="8" t="s">
        <v>131</v>
      </c>
      <c r="M2" s="29" t="s">
        <v>178</v>
      </c>
      <c r="N2" s="8" t="s">
        <v>126</v>
      </c>
      <c r="O2" s="8" t="s">
        <v>130</v>
      </c>
      <c r="P2" s="8" t="s">
        <v>134</v>
      </c>
      <c r="Q2" s="8" t="s">
        <v>289</v>
      </c>
      <c r="R2" s="81">
        <v>10</v>
      </c>
      <c r="S2" s="14">
        <v>4000</v>
      </c>
      <c r="T2" s="14">
        <f>tbl_Sales[[#This Row],[Invoice Amount]]*tbl_Sales[[#This Row],[Cost]]</f>
        <v>28000</v>
      </c>
      <c r="U2" s="14">
        <f>tbl_Sales[[#This Row],[Invoice Amount]]-tbl_Sales[[#This Row],[Cost Amount]]</f>
        <v>12000</v>
      </c>
      <c r="V2" s="8" t="s">
        <v>26</v>
      </c>
    </row>
    <row r="3" spans="1:22" x14ac:dyDescent="0.35">
      <c r="A3" s="85" t="s">
        <v>182</v>
      </c>
      <c r="B3" s="12">
        <v>46027</v>
      </c>
      <c r="C3" s="16" t="s">
        <v>84</v>
      </c>
      <c r="D3" s="18" t="s">
        <v>153</v>
      </c>
      <c r="E3" s="18" t="s">
        <v>168</v>
      </c>
      <c r="F3" s="14">
        <f>tbl_Sales[[#This Row],[Unit Price]]*tbl_Sales[[#This Row],[Quantity]]</f>
        <v>15000</v>
      </c>
      <c r="G3" s="77">
        <v>0.6</v>
      </c>
      <c r="H3" s="8">
        <v>500</v>
      </c>
      <c r="I3" s="8">
        <v>725</v>
      </c>
      <c r="J3" s="14">
        <f>F3-H3+I3</f>
        <v>15225</v>
      </c>
      <c r="K3" s="12">
        <v>46072</v>
      </c>
      <c r="L3" s="8" t="s">
        <v>132</v>
      </c>
      <c r="M3" s="29" t="s">
        <v>178</v>
      </c>
      <c r="N3" s="8" t="s">
        <v>127</v>
      </c>
      <c r="O3" s="8" t="s">
        <v>130</v>
      </c>
      <c r="P3" s="8" t="s">
        <v>135</v>
      </c>
      <c r="Q3" s="8" t="s">
        <v>290</v>
      </c>
      <c r="R3" s="81">
        <v>15</v>
      </c>
      <c r="S3" s="14">
        <v>1000</v>
      </c>
      <c r="T3" s="14">
        <f>tbl_Sales[[#This Row],[Invoice Amount]]*tbl_Sales[[#This Row],[Cost]]</f>
        <v>9000</v>
      </c>
      <c r="U3" s="14">
        <f>tbl_Sales[[#This Row],[Invoice Amount]]-tbl_Sales[[#This Row],[Cost Amount]]</f>
        <v>6000</v>
      </c>
      <c r="V3" s="8" t="s">
        <v>76</v>
      </c>
    </row>
    <row r="4" spans="1:22" x14ac:dyDescent="0.35">
      <c r="A4" s="85" t="s">
        <v>183</v>
      </c>
      <c r="B4" s="12">
        <v>46030</v>
      </c>
      <c r="C4" s="16" t="s">
        <v>85</v>
      </c>
      <c r="D4" s="18" t="s">
        <v>154</v>
      </c>
      <c r="E4" s="18" t="s">
        <v>169</v>
      </c>
      <c r="F4" s="14">
        <f>tbl_Sales[[#This Row],[Unit Price]]*tbl_Sales[[#This Row],[Quantity]]</f>
        <v>70000</v>
      </c>
      <c r="G4" s="77">
        <v>0.75</v>
      </c>
      <c r="H4" s="8">
        <v>0</v>
      </c>
      <c r="I4" s="8">
        <v>3500</v>
      </c>
      <c r="J4" s="14">
        <f t="shared" ref="J4:J16" si="0">F4-H4+I4</f>
        <v>73500</v>
      </c>
      <c r="K4" s="12">
        <v>46090</v>
      </c>
      <c r="L4" s="8" t="s">
        <v>131</v>
      </c>
      <c r="M4" s="29" t="s">
        <v>179</v>
      </c>
      <c r="N4" s="8" t="s">
        <v>128</v>
      </c>
      <c r="O4" s="8" t="s">
        <v>130</v>
      </c>
      <c r="P4" s="8" t="s">
        <v>134</v>
      </c>
      <c r="Q4" s="8" t="s">
        <v>169</v>
      </c>
      <c r="R4" s="81">
        <v>7</v>
      </c>
      <c r="S4" s="14">
        <v>10000</v>
      </c>
      <c r="T4" s="14">
        <f>tbl_Sales[[#This Row],[Invoice Amount]]*tbl_Sales[[#This Row],[Cost]]</f>
        <v>52500</v>
      </c>
      <c r="U4" s="14">
        <f>tbl_Sales[[#This Row],[Invoice Amount]]-tbl_Sales[[#This Row],[Cost Amount]]</f>
        <v>17500</v>
      </c>
      <c r="V4" s="8" t="s">
        <v>207</v>
      </c>
    </row>
    <row r="5" spans="1:22" x14ac:dyDescent="0.35">
      <c r="A5" s="85" t="s">
        <v>184</v>
      </c>
      <c r="B5" s="12">
        <v>46032</v>
      </c>
      <c r="C5" s="16" t="s">
        <v>86</v>
      </c>
      <c r="D5" s="18" t="s">
        <v>155</v>
      </c>
      <c r="E5" s="18" t="s">
        <v>170</v>
      </c>
      <c r="F5" s="14">
        <f>tbl_Sales[[#This Row],[Unit Price]]*tbl_Sales[[#This Row],[Quantity]]</f>
        <v>30000</v>
      </c>
      <c r="G5" s="77">
        <v>0.8</v>
      </c>
      <c r="H5" s="8">
        <v>1000</v>
      </c>
      <c r="I5" s="8">
        <v>1450</v>
      </c>
      <c r="J5" s="14">
        <f t="shared" si="0"/>
        <v>30450</v>
      </c>
      <c r="K5" s="12">
        <v>46062</v>
      </c>
      <c r="L5" s="8" t="s">
        <v>133</v>
      </c>
      <c r="M5" s="29" t="s">
        <v>180</v>
      </c>
      <c r="N5" s="8" t="s">
        <v>126</v>
      </c>
      <c r="O5" s="8" t="s">
        <v>130</v>
      </c>
      <c r="P5" s="8" t="s">
        <v>136</v>
      </c>
      <c r="Q5" s="8" t="s">
        <v>170</v>
      </c>
      <c r="R5" s="81">
        <v>20</v>
      </c>
      <c r="S5" s="14">
        <v>1500</v>
      </c>
      <c r="T5" s="14">
        <f>tbl_Sales[[#This Row],[Invoice Amount]]*tbl_Sales[[#This Row],[Cost]]</f>
        <v>24000</v>
      </c>
      <c r="U5" s="14">
        <f>tbl_Sales[[#This Row],[Invoice Amount]]-tbl_Sales[[#This Row],[Cost Amount]]</f>
        <v>6000</v>
      </c>
      <c r="V5" s="8" t="s">
        <v>76</v>
      </c>
    </row>
    <row r="6" spans="1:22" x14ac:dyDescent="0.35">
      <c r="A6" s="85" t="s">
        <v>185</v>
      </c>
      <c r="B6" s="12">
        <v>46034</v>
      </c>
      <c r="C6" s="16" t="s">
        <v>87</v>
      </c>
      <c r="D6" s="18" t="s">
        <v>156</v>
      </c>
      <c r="E6" s="18" t="s">
        <v>171</v>
      </c>
      <c r="F6" s="14">
        <f>tbl_Sales[[#This Row],[Unit Price]]*tbl_Sales[[#This Row],[Quantity]]</f>
        <v>55000</v>
      </c>
      <c r="G6" s="77">
        <v>0.7</v>
      </c>
      <c r="H6" s="8">
        <v>0</v>
      </c>
      <c r="I6" s="8">
        <v>2750</v>
      </c>
      <c r="J6" s="14">
        <f t="shared" si="0"/>
        <v>57750</v>
      </c>
      <c r="K6" s="12">
        <v>46079</v>
      </c>
      <c r="L6" s="8" t="s">
        <v>132</v>
      </c>
      <c r="M6" s="29" t="s">
        <v>179</v>
      </c>
      <c r="N6" s="8" t="s">
        <v>126</v>
      </c>
      <c r="O6" s="8" t="s">
        <v>130</v>
      </c>
      <c r="P6" s="8" t="s">
        <v>135</v>
      </c>
      <c r="Q6" s="8" t="s">
        <v>296</v>
      </c>
      <c r="R6" s="81">
        <v>11</v>
      </c>
      <c r="S6" s="14">
        <v>5000</v>
      </c>
      <c r="T6" s="14">
        <f>tbl_Sales[[#This Row],[Invoice Amount]]*tbl_Sales[[#This Row],[Cost]]</f>
        <v>38500</v>
      </c>
      <c r="U6" s="14">
        <f>tbl_Sales[[#This Row],[Invoice Amount]]-tbl_Sales[[#This Row],[Cost Amount]]</f>
        <v>16500</v>
      </c>
      <c r="V6" s="8" t="s">
        <v>26</v>
      </c>
    </row>
    <row r="7" spans="1:22" x14ac:dyDescent="0.35">
      <c r="A7" s="85" t="s">
        <v>186</v>
      </c>
      <c r="B7" s="12">
        <v>46037</v>
      </c>
      <c r="C7" s="16" t="s">
        <v>88</v>
      </c>
      <c r="D7" s="18" t="s">
        <v>157</v>
      </c>
      <c r="E7" s="18" t="s">
        <v>172</v>
      </c>
      <c r="F7" s="14">
        <f>tbl_Sales[[#This Row],[Unit Price]]*tbl_Sales[[#This Row],[Quantity]]</f>
        <v>90000</v>
      </c>
      <c r="G7" s="77">
        <v>0.75</v>
      </c>
      <c r="H7" s="8">
        <v>2000</v>
      </c>
      <c r="I7" s="8">
        <v>4400</v>
      </c>
      <c r="J7" s="14">
        <f t="shared" si="0"/>
        <v>92400</v>
      </c>
      <c r="K7" s="12">
        <v>46096</v>
      </c>
      <c r="L7" s="8" t="s">
        <v>131</v>
      </c>
      <c r="M7" s="29" t="s">
        <v>179</v>
      </c>
      <c r="N7" s="8" t="s">
        <v>126</v>
      </c>
      <c r="O7" s="8" t="s">
        <v>130</v>
      </c>
      <c r="P7" s="8" t="s">
        <v>136</v>
      </c>
      <c r="Q7" s="8" t="s">
        <v>172</v>
      </c>
      <c r="R7" s="81">
        <v>9</v>
      </c>
      <c r="S7" s="14">
        <v>10000</v>
      </c>
      <c r="T7" s="14">
        <f>tbl_Sales[[#This Row],[Invoice Amount]]*tbl_Sales[[#This Row],[Cost]]</f>
        <v>67500</v>
      </c>
      <c r="U7" s="14">
        <f>tbl_Sales[[#This Row],[Invoice Amount]]-tbl_Sales[[#This Row],[Cost Amount]]</f>
        <v>22500</v>
      </c>
      <c r="V7" s="8" t="s">
        <v>207</v>
      </c>
    </row>
    <row r="8" spans="1:22" x14ac:dyDescent="0.35">
      <c r="A8" s="85" t="s">
        <v>187</v>
      </c>
      <c r="B8" s="12">
        <v>46040</v>
      </c>
      <c r="C8" s="16" t="s">
        <v>89</v>
      </c>
      <c r="D8" s="18" t="s">
        <v>158</v>
      </c>
      <c r="E8" s="18" t="s">
        <v>173</v>
      </c>
      <c r="F8" s="14">
        <f>tbl_Sales[[#This Row],[Unit Price]]*tbl_Sales[[#This Row],[Quantity]]</f>
        <v>25000</v>
      </c>
      <c r="G8" s="77">
        <v>0.7</v>
      </c>
      <c r="H8" s="8">
        <v>0</v>
      </c>
      <c r="I8" s="8">
        <v>1250</v>
      </c>
      <c r="J8" s="14">
        <f t="shared" si="0"/>
        <v>26250</v>
      </c>
      <c r="K8" s="12">
        <v>46084</v>
      </c>
      <c r="L8" s="8" t="s">
        <v>132</v>
      </c>
      <c r="M8" s="29" t="s">
        <v>178</v>
      </c>
      <c r="N8" s="8" t="s">
        <v>128</v>
      </c>
      <c r="O8" s="8" t="s">
        <v>130</v>
      </c>
      <c r="P8" s="8" t="s">
        <v>136</v>
      </c>
      <c r="Q8" s="8" t="s">
        <v>297</v>
      </c>
      <c r="R8" s="81">
        <v>25</v>
      </c>
      <c r="S8" s="14">
        <v>1000</v>
      </c>
      <c r="T8" s="14">
        <f>tbl_Sales[[#This Row],[Invoice Amount]]*tbl_Sales[[#This Row],[Cost]]</f>
        <v>17500</v>
      </c>
      <c r="U8" s="14">
        <f>tbl_Sales[[#This Row],[Invoice Amount]]-tbl_Sales[[#This Row],[Cost Amount]]</f>
        <v>7500</v>
      </c>
      <c r="V8" s="8" t="s">
        <v>26</v>
      </c>
    </row>
    <row r="9" spans="1:22" x14ac:dyDescent="0.35">
      <c r="A9" s="85" t="s">
        <v>188</v>
      </c>
      <c r="B9" s="12">
        <v>46042</v>
      </c>
      <c r="C9" s="16" t="s">
        <v>90</v>
      </c>
      <c r="D9" s="18" t="s">
        <v>159</v>
      </c>
      <c r="E9" s="18" t="s">
        <v>174</v>
      </c>
      <c r="F9" s="14">
        <f>tbl_Sales[[#This Row],[Unit Price]]*tbl_Sales[[#This Row],[Quantity]]</f>
        <v>18000</v>
      </c>
      <c r="G9" s="77">
        <v>0.8</v>
      </c>
      <c r="H9" s="8">
        <v>500</v>
      </c>
      <c r="I9" s="8">
        <v>875</v>
      </c>
      <c r="J9" s="14">
        <f t="shared" si="0"/>
        <v>18375</v>
      </c>
      <c r="K9" s="12">
        <v>46072</v>
      </c>
      <c r="L9" s="8" t="s">
        <v>133</v>
      </c>
      <c r="M9" s="29" t="s">
        <v>180</v>
      </c>
      <c r="N9" s="8" t="s">
        <v>126</v>
      </c>
      <c r="O9" s="8" t="s">
        <v>130</v>
      </c>
      <c r="P9" s="8" t="s">
        <v>135</v>
      </c>
      <c r="Q9" s="8" t="s">
        <v>298</v>
      </c>
      <c r="R9" s="81">
        <v>18</v>
      </c>
      <c r="S9" s="14">
        <v>1000</v>
      </c>
      <c r="T9" s="14">
        <f>tbl_Sales[[#This Row],[Invoice Amount]]*tbl_Sales[[#This Row],[Cost]]</f>
        <v>14400</v>
      </c>
      <c r="U9" s="14">
        <f>tbl_Sales[[#This Row],[Invoice Amount]]-tbl_Sales[[#This Row],[Cost Amount]]</f>
        <v>3600</v>
      </c>
      <c r="V9" s="8" t="s">
        <v>76</v>
      </c>
    </row>
    <row r="10" spans="1:22" x14ac:dyDescent="0.35">
      <c r="A10" s="85" t="s">
        <v>189</v>
      </c>
      <c r="B10" s="12">
        <v>46045</v>
      </c>
      <c r="C10" s="16" t="s">
        <v>91</v>
      </c>
      <c r="D10" s="18" t="s">
        <v>160</v>
      </c>
      <c r="E10" s="18" t="s">
        <v>168</v>
      </c>
      <c r="F10" s="14">
        <f>tbl_Sales[[#This Row],[Unit Price]]*tbl_Sales[[#This Row],[Quantity]]</f>
        <v>22000</v>
      </c>
      <c r="G10" s="77">
        <v>0.6</v>
      </c>
      <c r="H10" s="8">
        <v>0</v>
      </c>
      <c r="I10" s="8">
        <v>1100</v>
      </c>
      <c r="J10" s="14">
        <f t="shared" si="0"/>
        <v>23100</v>
      </c>
      <c r="K10" s="12">
        <v>46089</v>
      </c>
      <c r="L10" s="8" t="s">
        <v>132</v>
      </c>
      <c r="M10" s="29" t="s">
        <v>178</v>
      </c>
      <c r="N10" s="8" t="s">
        <v>127</v>
      </c>
      <c r="O10" s="8" t="s">
        <v>130</v>
      </c>
      <c r="P10" s="8" t="s">
        <v>134</v>
      </c>
      <c r="Q10" s="8" t="s">
        <v>168</v>
      </c>
      <c r="R10" s="81">
        <v>22</v>
      </c>
      <c r="S10" s="14">
        <v>1000</v>
      </c>
      <c r="T10" s="14">
        <f>tbl_Sales[[#This Row],[Invoice Amount]]*tbl_Sales[[#This Row],[Cost]]</f>
        <v>13200</v>
      </c>
      <c r="U10" s="14">
        <f>tbl_Sales[[#This Row],[Invoice Amount]]-tbl_Sales[[#This Row],[Cost Amount]]</f>
        <v>8800</v>
      </c>
      <c r="V10" s="8" t="s">
        <v>26</v>
      </c>
    </row>
    <row r="11" spans="1:22" x14ac:dyDescent="0.35">
      <c r="A11" s="85" t="s">
        <v>190</v>
      </c>
      <c r="B11" s="12">
        <v>46048</v>
      </c>
      <c r="C11" s="16" t="s">
        <v>92</v>
      </c>
      <c r="D11" s="18" t="s">
        <v>161</v>
      </c>
      <c r="E11" s="18" t="s">
        <v>175</v>
      </c>
      <c r="F11" s="14">
        <f>tbl_Sales[[#This Row],[Unit Price]]*tbl_Sales[[#This Row],[Quantity]]</f>
        <v>85000</v>
      </c>
      <c r="G11" s="77">
        <v>0.75</v>
      </c>
      <c r="H11" s="8">
        <v>3000</v>
      </c>
      <c r="I11" s="8">
        <v>4100</v>
      </c>
      <c r="J11" s="14">
        <f t="shared" si="0"/>
        <v>86100</v>
      </c>
      <c r="K11" s="12">
        <v>46107</v>
      </c>
      <c r="L11" s="8" t="s">
        <v>131</v>
      </c>
      <c r="M11" s="29" t="s">
        <v>179</v>
      </c>
      <c r="N11" s="8" t="s">
        <v>126</v>
      </c>
      <c r="O11" s="8" t="s">
        <v>130</v>
      </c>
      <c r="P11" s="8" t="s">
        <v>136</v>
      </c>
      <c r="Q11" s="8" t="s">
        <v>299</v>
      </c>
      <c r="R11" s="81">
        <v>17</v>
      </c>
      <c r="S11" s="14">
        <v>5000</v>
      </c>
      <c r="T11" s="14">
        <f>tbl_Sales[[#This Row],[Invoice Amount]]*tbl_Sales[[#This Row],[Cost]]</f>
        <v>63750</v>
      </c>
      <c r="U11" s="14">
        <f>tbl_Sales[[#This Row],[Invoice Amount]]-tbl_Sales[[#This Row],[Cost Amount]]</f>
        <v>21250</v>
      </c>
      <c r="V11" s="8" t="s">
        <v>207</v>
      </c>
    </row>
    <row r="12" spans="1:22" x14ac:dyDescent="0.35">
      <c r="A12" s="85" t="s">
        <v>191</v>
      </c>
      <c r="B12" s="12">
        <v>46052</v>
      </c>
      <c r="C12" s="16" t="s">
        <v>93</v>
      </c>
      <c r="D12" s="18" t="s">
        <v>162</v>
      </c>
      <c r="E12" s="18" t="s">
        <v>176</v>
      </c>
      <c r="F12" s="14">
        <f>tbl_Sales[[#This Row],[Unit Price]]*tbl_Sales[[#This Row],[Quantity]]</f>
        <v>35000</v>
      </c>
      <c r="G12" s="77">
        <v>0.7</v>
      </c>
      <c r="H12" s="8">
        <v>0</v>
      </c>
      <c r="I12" s="8">
        <v>1750</v>
      </c>
      <c r="J12" s="14">
        <f t="shared" si="0"/>
        <v>36750</v>
      </c>
      <c r="K12" s="12">
        <v>46097</v>
      </c>
      <c r="L12" s="8" t="s">
        <v>132</v>
      </c>
      <c r="M12" s="29" t="s">
        <v>178</v>
      </c>
      <c r="N12" s="8" t="s">
        <v>127</v>
      </c>
      <c r="O12" s="8" t="s">
        <v>130</v>
      </c>
      <c r="P12" s="8" t="s">
        <v>135</v>
      </c>
      <c r="Q12" s="8" t="s">
        <v>300</v>
      </c>
      <c r="R12" s="81">
        <v>35</v>
      </c>
      <c r="S12" s="14">
        <v>1000</v>
      </c>
      <c r="T12" s="14">
        <f>tbl_Sales[[#This Row],[Invoice Amount]]*tbl_Sales[[#This Row],[Cost]]</f>
        <v>24500</v>
      </c>
      <c r="U12" s="14">
        <f>tbl_Sales[[#This Row],[Invoice Amount]]-tbl_Sales[[#This Row],[Cost Amount]]</f>
        <v>10500</v>
      </c>
      <c r="V12" s="8" t="s">
        <v>76</v>
      </c>
    </row>
    <row r="13" spans="1:22" x14ac:dyDescent="0.35">
      <c r="A13" s="85" t="s">
        <v>192</v>
      </c>
      <c r="B13" s="12">
        <v>46055</v>
      </c>
      <c r="C13" s="16" t="s">
        <v>94</v>
      </c>
      <c r="D13" s="18" t="s">
        <v>163</v>
      </c>
      <c r="E13" s="18" t="s">
        <v>171</v>
      </c>
      <c r="F13" s="14">
        <f>tbl_Sales[[#This Row],[Unit Price]]*tbl_Sales[[#This Row],[Quantity]]</f>
        <v>45000</v>
      </c>
      <c r="G13" s="77">
        <v>0.7</v>
      </c>
      <c r="H13" s="8">
        <v>1000</v>
      </c>
      <c r="I13" s="8">
        <v>2200</v>
      </c>
      <c r="J13" s="14">
        <f t="shared" si="0"/>
        <v>46200</v>
      </c>
      <c r="K13" s="12">
        <v>46085</v>
      </c>
      <c r="L13" s="8" t="s">
        <v>133</v>
      </c>
      <c r="M13" s="29" t="s">
        <v>179</v>
      </c>
      <c r="N13" s="8" t="s">
        <v>126</v>
      </c>
      <c r="O13" s="8" t="s">
        <v>130</v>
      </c>
      <c r="P13" s="8" t="s">
        <v>136</v>
      </c>
      <c r="Q13" s="8" t="s">
        <v>296</v>
      </c>
      <c r="R13" s="81">
        <v>15</v>
      </c>
      <c r="S13" s="14">
        <v>3000</v>
      </c>
      <c r="T13" s="14">
        <f>tbl_Sales[[#This Row],[Invoice Amount]]*tbl_Sales[[#This Row],[Cost]]</f>
        <v>31499.999999999996</v>
      </c>
      <c r="U13" s="14">
        <f>tbl_Sales[[#This Row],[Invoice Amount]]-tbl_Sales[[#This Row],[Cost Amount]]</f>
        <v>13500.000000000004</v>
      </c>
      <c r="V13" s="8" t="s">
        <v>207</v>
      </c>
    </row>
    <row r="14" spans="1:22" x14ac:dyDescent="0.35">
      <c r="A14" s="85" t="s">
        <v>193</v>
      </c>
      <c r="B14" s="12">
        <v>46058</v>
      </c>
      <c r="C14" s="16" t="s">
        <v>95</v>
      </c>
      <c r="D14" s="18" t="s">
        <v>164</v>
      </c>
      <c r="E14" s="18" t="s">
        <v>170</v>
      </c>
      <c r="F14" s="14">
        <f>tbl_Sales[[#This Row],[Unit Price]]*tbl_Sales[[#This Row],[Quantity]]</f>
        <v>60000</v>
      </c>
      <c r="G14" s="77">
        <v>0.8</v>
      </c>
      <c r="H14" s="8">
        <v>0</v>
      </c>
      <c r="I14" s="8">
        <v>3000</v>
      </c>
      <c r="J14" s="14">
        <f t="shared" si="0"/>
        <v>63000</v>
      </c>
      <c r="K14" s="12">
        <v>46116</v>
      </c>
      <c r="L14" s="8" t="s">
        <v>131</v>
      </c>
      <c r="M14" s="29" t="s">
        <v>180</v>
      </c>
      <c r="N14" s="8" t="s">
        <v>129</v>
      </c>
      <c r="O14" s="8" t="s">
        <v>130</v>
      </c>
      <c r="P14" s="8" t="s">
        <v>134</v>
      </c>
      <c r="Q14" s="8" t="s">
        <v>170</v>
      </c>
      <c r="R14" s="81">
        <v>20</v>
      </c>
      <c r="S14" s="14">
        <v>3000</v>
      </c>
      <c r="T14" s="14">
        <f>tbl_Sales[[#This Row],[Invoice Amount]]*tbl_Sales[[#This Row],[Cost]]</f>
        <v>48000</v>
      </c>
      <c r="U14" s="14">
        <f>tbl_Sales[[#This Row],[Invoice Amount]]-tbl_Sales[[#This Row],[Cost Amount]]</f>
        <v>12000</v>
      </c>
      <c r="V14" s="8" t="s">
        <v>26</v>
      </c>
    </row>
    <row r="15" spans="1:22" x14ac:dyDescent="0.35">
      <c r="A15" s="85" t="s">
        <v>194</v>
      </c>
      <c r="B15" s="12">
        <v>46061</v>
      </c>
      <c r="C15" s="16" t="s">
        <v>96</v>
      </c>
      <c r="D15" s="18" t="s">
        <v>165</v>
      </c>
      <c r="E15" s="18" t="s">
        <v>169</v>
      </c>
      <c r="F15" s="14">
        <f>tbl_Sales[[#This Row],[Unit Price]]*tbl_Sales[[#This Row],[Quantity]]</f>
        <v>75000</v>
      </c>
      <c r="G15" s="77">
        <v>0.75</v>
      </c>
      <c r="H15" s="8">
        <v>2000</v>
      </c>
      <c r="I15" s="8">
        <v>3650</v>
      </c>
      <c r="J15" s="14">
        <f t="shared" si="0"/>
        <v>76650</v>
      </c>
      <c r="K15" s="12">
        <v>46106</v>
      </c>
      <c r="L15" s="8" t="s">
        <v>132</v>
      </c>
      <c r="M15" s="29" t="s">
        <v>179</v>
      </c>
      <c r="N15" s="8" t="s">
        <v>126</v>
      </c>
      <c r="O15" s="8" t="s">
        <v>130</v>
      </c>
      <c r="P15" s="8" t="s">
        <v>135</v>
      </c>
      <c r="Q15" s="8" t="s">
        <v>169</v>
      </c>
      <c r="R15" s="81">
        <v>15</v>
      </c>
      <c r="S15" s="14">
        <v>5000</v>
      </c>
      <c r="T15" s="14">
        <f>tbl_Sales[[#This Row],[Invoice Amount]]*tbl_Sales[[#This Row],[Cost]]</f>
        <v>56250</v>
      </c>
      <c r="U15" s="14">
        <f>tbl_Sales[[#This Row],[Invoice Amount]]-tbl_Sales[[#This Row],[Cost Amount]]</f>
        <v>18750</v>
      </c>
      <c r="V15" s="8" t="s">
        <v>76</v>
      </c>
    </row>
    <row r="16" spans="1:22" x14ac:dyDescent="0.35">
      <c r="A16" s="86" t="s">
        <v>195</v>
      </c>
      <c r="B16" s="32">
        <v>46063</v>
      </c>
      <c r="C16" s="16" t="s">
        <v>97</v>
      </c>
      <c r="D16" s="33" t="s">
        <v>166</v>
      </c>
      <c r="E16" s="31" t="s">
        <v>176</v>
      </c>
      <c r="F16" s="14">
        <f>tbl_Sales[[#This Row],[Unit Price]]*tbl_Sales[[#This Row],[Quantity]]</f>
        <v>28000</v>
      </c>
      <c r="G16" s="79">
        <v>0.7</v>
      </c>
      <c r="H16" s="35">
        <v>500</v>
      </c>
      <c r="I16" s="35">
        <v>1375</v>
      </c>
      <c r="J16" s="34">
        <f t="shared" si="0"/>
        <v>28875</v>
      </c>
      <c r="K16" s="32">
        <v>46093</v>
      </c>
      <c r="L16" s="35" t="s">
        <v>133</v>
      </c>
      <c r="M16" s="36" t="s">
        <v>178</v>
      </c>
      <c r="N16" s="8" t="s">
        <v>128</v>
      </c>
      <c r="O16" s="8" t="s">
        <v>130</v>
      </c>
      <c r="P16" s="8" t="s">
        <v>136</v>
      </c>
      <c r="Q16" s="8" t="s">
        <v>300</v>
      </c>
      <c r="R16" s="81">
        <v>14</v>
      </c>
      <c r="S16" s="14">
        <v>2000</v>
      </c>
      <c r="T16" s="14">
        <f>tbl_Sales[[#This Row],[Invoice Amount]]*tbl_Sales[[#This Row],[Cost]]</f>
        <v>19600</v>
      </c>
      <c r="U16" s="14">
        <f>tbl_Sales[[#This Row],[Invoice Amount]]-tbl_Sales[[#This Row],[Cost Amount]]</f>
        <v>8400</v>
      </c>
      <c r="V16" s="8" t="s">
        <v>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2FDE-4423-46FB-8CF9-4D067A9F5D69}">
  <sheetPr>
    <tabColor theme="4" tint="0.39997558519241921"/>
  </sheetPr>
  <dimension ref="A1:L16"/>
  <sheetViews>
    <sheetView topLeftCell="D1" workbookViewId="0">
      <selection activeCell="E5" sqref="E5"/>
    </sheetView>
  </sheetViews>
  <sheetFormatPr defaultRowHeight="14.4" x14ac:dyDescent="0.3"/>
  <cols>
    <col min="1" max="3" width="19.6640625" customWidth="1"/>
    <col min="4" max="4" width="36" bestFit="1" customWidth="1"/>
    <col min="5" max="5" width="26.21875" bestFit="1" customWidth="1"/>
    <col min="6" max="6" width="22.109375" bestFit="1" customWidth="1"/>
    <col min="7" max="7" width="19.6640625" customWidth="1"/>
    <col min="8" max="8" width="10.88671875" customWidth="1"/>
    <col min="9" max="9" width="21.109375" customWidth="1"/>
    <col min="10" max="10" width="19.6640625" customWidth="1"/>
    <col min="11" max="11" width="22.109375" bestFit="1" customWidth="1"/>
    <col min="12" max="12" width="21.109375" customWidth="1"/>
  </cols>
  <sheetData>
    <row r="1" spans="1:12" ht="18" x14ac:dyDescent="0.3">
      <c r="A1" s="20" t="s">
        <v>9</v>
      </c>
      <c r="B1" s="21" t="s">
        <v>10</v>
      </c>
      <c r="C1" s="21" t="s">
        <v>7</v>
      </c>
      <c r="D1" s="21" t="s">
        <v>16</v>
      </c>
      <c r="E1" s="21" t="s">
        <v>196</v>
      </c>
      <c r="F1" s="21" t="s">
        <v>13</v>
      </c>
      <c r="G1" s="21" t="s">
        <v>38</v>
      </c>
      <c r="H1" s="21" t="s">
        <v>14</v>
      </c>
      <c r="I1" s="21" t="s">
        <v>15</v>
      </c>
      <c r="J1" s="21" t="s">
        <v>12</v>
      </c>
      <c r="K1" s="21" t="s">
        <v>5</v>
      </c>
      <c r="L1" s="23" t="s">
        <v>6</v>
      </c>
    </row>
    <row r="2" spans="1:12" ht="18" x14ac:dyDescent="0.35">
      <c r="A2" s="17" t="s">
        <v>181</v>
      </c>
      <c r="B2" s="12">
        <v>46024</v>
      </c>
      <c r="C2" s="16" t="s">
        <v>137</v>
      </c>
      <c r="D2" s="9" t="s">
        <v>152</v>
      </c>
      <c r="E2" s="9" t="s">
        <v>167</v>
      </c>
      <c r="F2" s="14">
        <v>40000</v>
      </c>
      <c r="G2" s="8">
        <v>0</v>
      </c>
      <c r="H2" s="8">
        <v>2000</v>
      </c>
      <c r="I2" s="14">
        <f t="shared" ref="I2:I16" si="0">F2-G2+H2</f>
        <v>42000</v>
      </c>
      <c r="J2" s="12">
        <v>46233</v>
      </c>
      <c r="K2" s="8" t="s">
        <v>131</v>
      </c>
      <c r="L2" s="29" t="s">
        <v>178</v>
      </c>
    </row>
    <row r="3" spans="1:12" ht="18" x14ac:dyDescent="0.35">
      <c r="A3" s="17" t="s">
        <v>182</v>
      </c>
      <c r="B3" s="12">
        <v>46027</v>
      </c>
      <c r="C3" s="16" t="s">
        <v>138</v>
      </c>
      <c r="D3" s="9" t="s">
        <v>153</v>
      </c>
      <c r="E3" s="9" t="s">
        <v>168</v>
      </c>
      <c r="F3" s="14">
        <v>15000</v>
      </c>
      <c r="G3" s="8">
        <v>500</v>
      </c>
      <c r="H3" s="8">
        <v>725</v>
      </c>
      <c r="I3" s="14">
        <f t="shared" si="0"/>
        <v>15225</v>
      </c>
      <c r="J3" s="12">
        <v>46231</v>
      </c>
      <c r="K3" s="8" t="s">
        <v>132</v>
      </c>
      <c r="L3" s="29" t="s">
        <v>178</v>
      </c>
    </row>
    <row r="4" spans="1:12" ht="18" x14ac:dyDescent="0.35">
      <c r="A4" s="17" t="s">
        <v>183</v>
      </c>
      <c r="B4" s="12">
        <v>46030</v>
      </c>
      <c r="C4" s="16" t="s">
        <v>139</v>
      </c>
      <c r="D4" s="9" t="s">
        <v>154</v>
      </c>
      <c r="E4" s="9" t="s">
        <v>169</v>
      </c>
      <c r="F4" s="14">
        <v>70000</v>
      </c>
      <c r="G4" s="8">
        <v>0</v>
      </c>
      <c r="H4" s="8">
        <v>3500</v>
      </c>
      <c r="I4" s="14">
        <f t="shared" si="0"/>
        <v>73500</v>
      </c>
      <c r="J4" s="12">
        <v>46228</v>
      </c>
      <c r="K4" s="8" t="s">
        <v>131</v>
      </c>
      <c r="L4" s="29" t="s">
        <v>179</v>
      </c>
    </row>
    <row r="5" spans="1:12" ht="18" x14ac:dyDescent="0.35">
      <c r="A5" s="17" t="s">
        <v>184</v>
      </c>
      <c r="B5" s="12">
        <v>46032</v>
      </c>
      <c r="C5" s="16" t="s">
        <v>140</v>
      </c>
      <c r="D5" s="9" t="s">
        <v>155</v>
      </c>
      <c r="E5" s="9" t="s">
        <v>170</v>
      </c>
      <c r="F5" s="14">
        <v>30000</v>
      </c>
      <c r="G5" s="8">
        <v>1000</v>
      </c>
      <c r="H5" s="8">
        <v>1450</v>
      </c>
      <c r="I5" s="14">
        <f t="shared" si="0"/>
        <v>30450</v>
      </c>
      <c r="J5" s="12">
        <v>46213</v>
      </c>
      <c r="K5" s="8" t="s">
        <v>133</v>
      </c>
      <c r="L5" s="29" t="s">
        <v>180</v>
      </c>
    </row>
    <row r="6" spans="1:12" ht="18" x14ac:dyDescent="0.35">
      <c r="A6" s="17" t="s">
        <v>185</v>
      </c>
      <c r="B6" s="12">
        <v>46034</v>
      </c>
      <c r="C6" s="16" t="s">
        <v>141</v>
      </c>
      <c r="D6" s="9" t="s">
        <v>156</v>
      </c>
      <c r="E6" s="9" t="s">
        <v>171</v>
      </c>
      <c r="F6" s="14">
        <v>55000</v>
      </c>
      <c r="G6" s="8">
        <v>0</v>
      </c>
      <c r="H6" s="8">
        <v>2750</v>
      </c>
      <c r="I6" s="14">
        <f t="shared" si="0"/>
        <v>57750</v>
      </c>
      <c r="J6" s="12">
        <v>46208</v>
      </c>
      <c r="K6" s="8" t="s">
        <v>132</v>
      </c>
      <c r="L6" s="29" t="s">
        <v>179</v>
      </c>
    </row>
    <row r="7" spans="1:12" ht="18" x14ac:dyDescent="0.35">
      <c r="A7" s="17" t="s">
        <v>186</v>
      </c>
      <c r="B7" s="12">
        <v>46037</v>
      </c>
      <c r="C7" s="16" t="s">
        <v>142</v>
      </c>
      <c r="D7" s="9" t="s">
        <v>157</v>
      </c>
      <c r="E7" s="9" t="s">
        <v>172</v>
      </c>
      <c r="F7" s="14">
        <v>90000</v>
      </c>
      <c r="G7" s="8">
        <v>2000</v>
      </c>
      <c r="H7" s="8">
        <v>4400</v>
      </c>
      <c r="I7" s="14">
        <f t="shared" si="0"/>
        <v>92400</v>
      </c>
      <c r="J7" s="12">
        <v>46204</v>
      </c>
      <c r="K7" s="8" t="s">
        <v>131</v>
      </c>
      <c r="L7" s="29" t="s">
        <v>179</v>
      </c>
    </row>
    <row r="8" spans="1:12" ht="18" x14ac:dyDescent="0.35">
      <c r="A8" s="17" t="s">
        <v>187</v>
      </c>
      <c r="B8" s="12">
        <v>46040</v>
      </c>
      <c r="C8" s="16" t="s">
        <v>143</v>
      </c>
      <c r="D8" s="9" t="s">
        <v>158</v>
      </c>
      <c r="E8" s="9" t="s">
        <v>173</v>
      </c>
      <c r="F8" s="14">
        <v>25000</v>
      </c>
      <c r="G8" s="8">
        <v>0</v>
      </c>
      <c r="H8" s="8">
        <v>1250</v>
      </c>
      <c r="I8" s="14">
        <f t="shared" si="0"/>
        <v>26250</v>
      </c>
      <c r="J8" s="12">
        <v>46183</v>
      </c>
      <c r="K8" s="8" t="s">
        <v>132</v>
      </c>
      <c r="L8" s="29" t="s">
        <v>178</v>
      </c>
    </row>
    <row r="9" spans="1:12" ht="18" x14ac:dyDescent="0.35">
      <c r="A9" s="17" t="s">
        <v>188</v>
      </c>
      <c r="B9" s="12">
        <v>46042</v>
      </c>
      <c r="C9" s="16" t="s">
        <v>144</v>
      </c>
      <c r="D9" s="9" t="s">
        <v>159</v>
      </c>
      <c r="E9" s="9" t="s">
        <v>174</v>
      </c>
      <c r="F9" s="14">
        <v>18000</v>
      </c>
      <c r="G9" s="8">
        <v>500</v>
      </c>
      <c r="H9" s="8">
        <v>875</v>
      </c>
      <c r="I9" s="14">
        <f t="shared" si="0"/>
        <v>18375</v>
      </c>
      <c r="J9" s="12">
        <v>46178</v>
      </c>
      <c r="K9" s="8" t="s">
        <v>133</v>
      </c>
      <c r="L9" s="29" t="s">
        <v>180</v>
      </c>
    </row>
    <row r="10" spans="1:12" ht="18" x14ac:dyDescent="0.35">
      <c r="A10" s="17" t="s">
        <v>189</v>
      </c>
      <c r="B10" s="12">
        <v>46045</v>
      </c>
      <c r="C10" s="16" t="s">
        <v>145</v>
      </c>
      <c r="D10" s="9" t="s">
        <v>160</v>
      </c>
      <c r="E10" s="9" t="s">
        <v>168</v>
      </c>
      <c r="F10" s="14">
        <v>22000</v>
      </c>
      <c r="G10" s="8">
        <v>0</v>
      </c>
      <c r="H10" s="8">
        <v>1100</v>
      </c>
      <c r="I10" s="14">
        <f t="shared" si="0"/>
        <v>23100</v>
      </c>
      <c r="J10" s="12">
        <v>46174</v>
      </c>
      <c r="K10" s="8" t="s">
        <v>132</v>
      </c>
      <c r="L10" s="29" t="s">
        <v>178</v>
      </c>
    </row>
    <row r="11" spans="1:12" ht="18" x14ac:dyDescent="0.35">
      <c r="A11" s="17" t="s">
        <v>190</v>
      </c>
      <c r="B11" s="12">
        <v>46048</v>
      </c>
      <c r="C11" s="16" t="s">
        <v>146</v>
      </c>
      <c r="D11" s="9" t="s">
        <v>161</v>
      </c>
      <c r="E11" s="9" t="s">
        <v>175</v>
      </c>
      <c r="F11" s="14">
        <v>85000</v>
      </c>
      <c r="G11" s="8">
        <v>3000</v>
      </c>
      <c r="H11" s="8">
        <v>4100</v>
      </c>
      <c r="I11" s="14">
        <f t="shared" si="0"/>
        <v>86100</v>
      </c>
      <c r="J11" s="12">
        <v>46152</v>
      </c>
      <c r="K11" s="8" t="s">
        <v>131</v>
      </c>
      <c r="L11" s="29" t="s">
        <v>179</v>
      </c>
    </row>
    <row r="12" spans="1:12" ht="18" x14ac:dyDescent="0.35">
      <c r="A12" s="17" t="s">
        <v>191</v>
      </c>
      <c r="B12" s="12">
        <v>46052</v>
      </c>
      <c r="C12" s="16" t="s">
        <v>147</v>
      </c>
      <c r="D12" s="9" t="s">
        <v>162</v>
      </c>
      <c r="E12" s="9" t="s">
        <v>176</v>
      </c>
      <c r="F12" s="14">
        <v>35000</v>
      </c>
      <c r="G12" s="8">
        <v>0</v>
      </c>
      <c r="H12" s="8">
        <v>1750</v>
      </c>
      <c r="I12" s="14">
        <f t="shared" si="0"/>
        <v>36750</v>
      </c>
      <c r="J12" s="12">
        <v>46147</v>
      </c>
      <c r="K12" s="8" t="s">
        <v>132</v>
      </c>
      <c r="L12" s="29" t="s">
        <v>178</v>
      </c>
    </row>
    <row r="13" spans="1:12" ht="18" x14ac:dyDescent="0.35">
      <c r="A13" s="17" t="s">
        <v>192</v>
      </c>
      <c r="B13" s="12">
        <v>46055</v>
      </c>
      <c r="C13" s="16" t="s">
        <v>148</v>
      </c>
      <c r="D13" s="9" t="s">
        <v>163</v>
      </c>
      <c r="E13" s="9" t="s">
        <v>171</v>
      </c>
      <c r="F13" s="14">
        <v>45000</v>
      </c>
      <c r="G13" s="8">
        <v>1000</v>
      </c>
      <c r="H13" s="8">
        <v>2200</v>
      </c>
      <c r="I13" s="14">
        <f t="shared" si="0"/>
        <v>46200</v>
      </c>
      <c r="J13" s="12">
        <v>46143</v>
      </c>
      <c r="K13" s="8" t="s">
        <v>133</v>
      </c>
      <c r="L13" s="29" t="s">
        <v>179</v>
      </c>
    </row>
    <row r="14" spans="1:12" ht="18" x14ac:dyDescent="0.35">
      <c r="A14" s="17" t="s">
        <v>193</v>
      </c>
      <c r="B14" s="12">
        <v>46058</v>
      </c>
      <c r="C14" s="16" t="s">
        <v>149</v>
      </c>
      <c r="D14" s="9" t="s">
        <v>164</v>
      </c>
      <c r="E14" s="9" t="s">
        <v>170</v>
      </c>
      <c r="F14" s="14">
        <v>60000</v>
      </c>
      <c r="G14" s="8">
        <v>0</v>
      </c>
      <c r="H14" s="8">
        <v>3000</v>
      </c>
      <c r="I14" s="14">
        <f t="shared" si="0"/>
        <v>63000</v>
      </c>
      <c r="J14" s="12">
        <v>46096</v>
      </c>
      <c r="K14" s="8" t="s">
        <v>131</v>
      </c>
      <c r="L14" s="29" t="s">
        <v>180</v>
      </c>
    </row>
    <row r="15" spans="1:12" ht="18" x14ac:dyDescent="0.35">
      <c r="A15" s="17" t="s">
        <v>194</v>
      </c>
      <c r="B15" s="12">
        <v>46061</v>
      </c>
      <c r="C15" s="16" t="s">
        <v>150</v>
      </c>
      <c r="D15" s="9" t="s">
        <v>165</v>
      </c>
      <c r="E15" s="9" t="s">
        <v>169</v>
      </c>
      <c r="F15" s="14">
        <v>75000</v>
      </c>
      <c r="G15" s="8">
        <v>2000</v>
      </c>
      <c r="H15" s="8">
        <v>3650</v>
      </c>
      <c r="I15" s="14">
        <f t="shared" si="0"/>
        <v>76650</v>
      </c>
      <c r="J15" s="12">
        <v>46082</v>
      </c>
      <c r="K15" s="8" t="s">
        <v>132</v>
      </c>
      <c r="L15" s="29" t="s">
        <v>179</v>
      </c>
    </row>
    <row r="16" spans="1:12" ht="18" x14ac:dyDescent="0.35">
      <c r="A16" s="31" t="s">
        <v>195</v>
      </c>
      <c r="B16" s="32">
        <v>46063</v>
      </c>
      <c r="C16" s="28" t="s">
        <v>151</v>
      </c>
      <c r="D16" s="25" t="s">
        <v>166</v>
      </c>
      <c r="E16" s="31" t="s">
        <v>176</v>
      </c>
      <c r="F16" s="34">
        <v>28000</v>
      </c>
      <c r="G16" s="35">
        <v>500</v>
      </c>
      <c r="H16" s="35">
        <v>1375</v>
      </c>
      <c r="I16" s="34">
        <f t="shared" si="0"/>
        <v>28875</v>
      </c>
      <c r="J16" s="32">
        <v>46068</v>
      </c>
      <c r="K16" s="35" t="s">
        <v>133</v>
      </c>
      <c r="L16" s="36" t="s">
        <v>178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864C-628C-44B3-BF91-0D9CDB061C8E}">
  <sheetPr>
    <tabColor theme="8" tint="0.39997558519241921"/>
  </sheetPr>
  <dimension ref="A1:J11"/>
  <sheetViews>
    <sheetView workbookViewId="0">
      <selection activeCell="D2" sqref="C2:D11"/>
    </sheetView>
  </sheetViews>
  <sheetFormatPr defaultRowHeight="18" x14ac:dyDescent="0.3"/>
  <cols>
    <col min="1" max="1" width="17.77734375" style="2" customWidth="1"/>
    <col min="2" max="2" width="19.109375" style="2" bestFit="1" customWidth="1"/>
    <col min="3" max="3" width="19.6640625" customWidth="1"/>
    <col min="4" max="4" width="36" bestFit="1" customWidth="1"/>
    <col min="5" max="5" width="19.6640625" customWidth="1"/>
    <col min="6" max="6" width="24.21875" style="2" bestFit="1" customWidth="1"/>
    <col min="7" max="7" width="23.44140625" style="2" bestFit="1" customWidth="1"/>
    <col min="8" max="10" width="20.88671875" style="2" customWidth="1"/>
  </cols>
  <sheetData>
    <row r="1" spans="1:10" x14ac:dyDescent="0.3">
      <c r="A1" s="20" t="s">
        <v>17</v>
      </c>
      <c r="B1" s="21" t="s">
        <v>18</v>
      </c>
      <c r="C1" s="21" t="s">
        <v>0</v>
      </c>
      <c r="D1" s="21" t="s">
        <v>11</v>
      </c>
      <c r="E1" s="21" t="s">
        <v>9</v>
      </c>
      <c r="F1" s="21" t="s">
        <v>19</v>
      </c>
      <c r="G1" s="21" t="s">
        <v>20</v>
      </c>
      <c r="H1" s="21" t="s">
        <v>40</v>
      </c>
      <c r="I1" s="21" t="s">
        <v>41</v>
      </c>
      <c r="J1" s="23" t="s">
        <v>6</v>
      </c>
    </row>
    <row r="2" spans="1:10" x14ac:dyDescent="0.35">
      <c r="A2" s="17" t="s">
        <v>197</v>
      </c>
      <c r="B2" s="12">
        <v>46037</v>
      </c>
      <c r="C2" s="16" t="s">
        <v>83</v>
      </c>
      <c r="D2" s="9" t="s">
        <v>103</v>
      </c>
      <c r="E2" s="8" t="s">
        <v>177</v>
      </c>
      <c r="F2" s="14">
        <v>52500</v>
      </c>
      <c r="G2" s="4" t="s">
        <v>207</v>
      </c>
      <c r="H2" s="4" t="s">
        <v>209</v>
      </c>
      <c r="I2" s="4" t="s">
        <v>212</v>
      </c>
      <c r="J2" s="16" t="s">
        <v>222</v>
      </c>
    </row>
    <row r="3" spans="1:10" x14ac:dyDescent="0.35">
      <c r="A3" s="17" t="s">
        <v>198</v>
      </c>
      <c r="B3" s="12">
        <v>46058</v>
      </c>
      <c r="C3" s="16" t="s">
        <v>85</v>
      </c>
      <c r="D3" s="9" t="s">
        <v>105</v>
      </c>
      <c r="E3" s="8" t="s">
        <v>182</v>
      </c>
      <c r="F3" s="14">
        <v>20475</v>
      </c>
      <c r="G3" s="4" t="s">
        <v>26</v>
      </c>
      <c r="H3" s="4" t="s">
        <v>210</v>
      </c>
      <c r="I3" s="4" t="s">
        <v>218</v>
      </c>
      <c r="J3" s="16" t="s">
        <v>222</v>
      </c>
    </row>
    <row r="4" spans="1:10" x14ac:dyDescent="0.35">
      <c r="A4" s="17" t="s">
        <v>199</v>
      </c>
      <c r="B4" s="12">
        <v>46073</v>
      </c>
      <c r="C4" s="16" t="s">
        <v>86</v>
      </c>
      <c r="D4" s="9" t="s">
        <v>106</v>
      </c>
      <c r="E4" s="8" t="s">
        <v>184</v>
      </c>
      <c r="F4" s="14">
        <v>30000</v>
      </c>
      <c r="G4" s="4" t="s">
        <v>207</v>
      </c>
      <c r="H4" s="4" t="s">
        <v>209</v>
      </c>
      <c r="I4" s="4" t="s">
        <v>213</v>
      </c>
      <c r="J4" s="16" t="s">
        <v>222</v>
      </c>
    </row>
    <row r="5" spans="1:10" x14ac:dyDescent="0.35">
      <c r="A5" s="17" t="s">
        <v>200</v>
      </c>
      <c r="B5" s="12">
        <v>46068</v>
      </c>
      <c r="C5" s="16" t="s">
        <v>92</v>
      </c>
      <c r="D5" s="9" t="s">
        <v>112</v>
      </c>
      <c r="E5" s="8" t="s">
        <v>186</v>
      </c>
      <c r="F5" s="14">
        <v>15750</v>
      </c>
      <c r="G5" s="4" t="s">
        <v>26</v>
      </c>
      <c r="H5" s="4" t="s">
        <v>211</v>
      </c>
      <c r="I5" s="4" t="s">
        <v>219</v>
      </c>
      <c r="J5" s="16" t="s">
        <v>222</v>
      </c>
    </row>
    <row r="6" spans="1:10" x14ac:dyDescent="0.35">
      <c r="A6" s="17" t="s">
        <v>201</v>
      </c>
      <c r="B6" s="12">
        <v>46078</v>
      </c>
      <c r="C6" s="16" t="s">
        <v>98</v>
      </c>
      <c r="D6" s="9" t="s">
        <v>118</v>
      </c>
      <c r="E6" s="8" t="s">
        <v>189</v>
      </c>
      <c r="F6" s="14">
        <v>82950</v>
      </c>
      <c r="G6" s="4" t="s">
        <v>207</v>
      </c>
      <c r="H6" s="4" t="s">
        <v>209</v>
      </c>
      <c r="I6" s="4" t="s">
        <v>214</v>
      </c>
      <c r="J6" s="16" t="s">
        <v>222</v>
      </c>
    </row>
    <row r="7" spans="1:10" x14ac:dyDescent="0.35">
      <c r="A7" s="17" t="s">
        <v>202</v>
      </c>
      <c r="B7" s="12">
        <v>46073</v>
      </c>
      <c r="C7" s="16" t="s">
        <v>102</v>
      </c>
      <c r="D7" s="9" t="s">
        <v>122</v>
      </c>
      <c r="E7" s="8" t="s">
        <v>191</v>
      </c>
      <c r="F7" s="14">
        <v>46725</v>
      </c>
      <c r="G7" s="4" t="s">
        <v>208</v>
      </c>
      <c r="H7" s="4" t="s">
        <v>209</v>
      </c>
      <c r="I7" s="4" t="s">
        <v>220</v>
      </c>
      <c r="J7" s="16" t="s">
        <v>222</v>
      </c>
    </row>
    <row r="8" spans="1:10" x14ac:dyDescent="0.35">
      <c r="A8" s="17" t="s">
        <v>203</v>
      </c>
      <c r="B8" s="12">
        <v>46082</v>
      </c>
      <c r="C8" s="16" t="s">
        <v>87</v>
      </c>
      <c r="D8" s="9" t="s">
        <v>107</v>
      </c>
      <c r="E8" s="8" t="s">
        <v>193</v>
      </c>
      <c r="F8" s="14">
        <v>26250</v>
      </c>
      <c r="G8" s="4" t="s">
        <v>207</v>
      </c>
      <c r="H8" s="4" t="s">
        <v>209</v>
      </c>
      <c r="I8" s="4" t="s">
        <v>215</v>
      </c>
      <c r="J8" s="16" t="s">
        <v>222</v>
      </c>
    </row>
    <row r="9" spans="1:10" x14ac:dyDescent="0.35">
      <c r="A9" s="17" t="s">
        <v>204</v>
      </c>
      <c r="B9" s="12">
        <v>46091</v>
      </c>
      <c r="C9" s="16" t="s">
        <v>90</v>
      </c>
      <c r="D9" s="9" t="s">
        <v>110</v>
      </c>
      <c r="E9" s="8" t="s">
        <v>185</v>
      </c>
      <c r="F9" s="14">
        <v>20000</v>
      </c>
      <c r="G9" s="4" t="s">
        <v>207</v>
      </c>
      <c r="H9" s="4" t="s">
        <v>209</v>
      </c>
      <c r="I9" s="4" t="s">
        <v>216</v>
      </c>
      <c r="J9" s="16" t="s">
        <v>222</v>
      </c>
    </row>
    <row r="10" spans="1:10" x14ac:dyDescent="0.35">
      <c r="A10" s="17" t="s">
        <v>205</v>
      </c>
      <c r="B10" s="12">
        <v>46096</v>
      </c>
      <c r="C10" s="16" t="s">
        <v>96</v>
      </c>
      <c r="D10" s="9" t="s">
        <v>116</v>
      </c>
      <c r="E10" s="8" t="s">
        <v>188</v>
      </c>
      <c r="F10" s="14">
        <v>25000</v>
      </c>
      <c r="G10" s="4" t="s">
        <v>208</v>
      </c>
      <c r="H10" s="4" t="s">
        <v>209</v>
      </c>
      <c r="I10" s="4" t="s">
        <v>221</v>
      </c>
      <c r="J10" s="16" t="s">
        <v>222</v>
      </c>
    </row>
    <row r="11" spans="1:10" x14ac:dyDescent="0.35">
      <c r="A11" s="31" t="s">
        <v>206</v>
      </c>
      <c r="B11" s="32">
        <v>46101</v>
      </c>
      <c r="C11" s="28" t="s">
        <v>91</v>
      </c>
      <c r="D11" s="25" t="s">
        <v>111</v>
      </c>
      <c r="E11" s="35" t="s">
        <v>194</v>
      </c>
      <c r="F11" s="34">
        <v>30000</v>
      </c>
      <c r="G11" s="26" t="s">
        <v>207</v>
      </c>
      <c r="H11" s="26" t="s">
        <v>209</v>
      </c>
      <c r="I11" s="26" t="s">
        <v>217</v>
      </c>
      <c r="J11" s="28" t="s">
        <v>222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7C2E-CDF9-4A3F-8C4A-2C7A74AA066E}">
  <sheetPr>
    <tabColor theme="2" tint="-0.499984740745262"/>
  </sheetPr>
  <dimension ref="A1:J11"/>
  <sheetViews>
    <sheetView topLeftCell="D1" zoomScale="115" zoomScaleNormal="115" workbookViewId="0">
      <selection activeCell="D5" sqref="D5"/>
    </sheetView>
  </sheetViews>
  <sheetFormatPr defaultRowHeight="18" x14ac:dyDescent="0.35"/>
  <cols>
    <col min="1" max="1" width="17.77734375" style="2" customWidth="1"/>
    <col min="2" max="2" width="20.33203125" style="2" bestFit="1" customWidth="1"/>
    <col min="3" max="3" width="19.6640625" style="1" customWidth="1"/>
    <col min="4" max="4" width="36.77734375" style="1" bestFit="1" customWidth="1"/>
    <col min="5" max="5" width="19.6640625" style="1" customWidth="1"/>
    <col min="6" max="6" width="22.77734375" style="2" customWidth="1"/>
    <col min="7" max="7" width="23.44140625" style="2" bestFit="1" customWidth="1"/>
    <col min="8" max="10" width="20.88671875" style="2" customWidth="1"/>
  </cols>
  <sheetData>
    <row r="1" spans="1:10" x14ac:dyDescent="0.3">
      <c r="A1" s="20" t="s">
        <v>21</v>
      </c>
      <c r="B1" s="21" t="s">
        <v>22</v>
      </c>
      <c r="C1" s="21" t="s">
        <v>23</v>
      </c>
      <c r="D1" s="21" t="s">
        <v>24</v>
      </c>
      <c r="E1" s="21" t="s">
        <v>9</v>
      </c>
      <c r="F1" s="21" t="s">
        <v>25</v>
      </c>
      <c r="G1" s="21" t="s">
        <v>20</v>
      </c>
      <c r="H1" s="21" t="s">
        <v>40</v>
      </c>
      <c r="I1" s="21" t="s">
        <v>41</v>
      </c>
      <c r="J1" s="23" t="s">
        <v>6</v>
      </c>
    </row>
    <row r="2" spans="1:10" x14ac:dyDescent="0.35">
      <c r="A2" s="17" t="s">
        <v>223</v>
      </c>
      <c r="B2" s="12">
        <v>46042</v>
      </c>
      <c r="C2" s="4" t="s">
        <v>137</v>
      </c>
      <c r="D2" s="9" t="s">
        <v>152</v>
      </c>
      <c r="E2" s="8" t="s">
        <v>181</v>
      </c>
      <c r="F2" s="14">
        <v>42000</v>
      </c>
      <c r="G2" s="4" t="s">
        <v>207</v>
      </c>
      <c r="H2" s="4" t="s">
        <v>209</v>
      </c>
      <c r="I2" s="4" t="s">
        <v>233</v>
      </c>
      <c r="J2" s="16" t="s">
        <v>222</v>
      </c>
    </row>
    <row r="3" spans="1:10" x14ac:dyDescent="0.35">
      <c r="A3" s="17" t="s">
        <v>224</v>
      </c>
      <c r="B3" s="12">
        <v>46078</v>
      </c>
      <c r="C3" s="4" t="s">
        <v>138</v>
      </c>
      <c r="D3" s="9" t="s">
        <v>153</v>
      </c>
      <c r="E3" s="8" t="s">
        <v>182</v>
      </c>
      <c r="F3" s="14">
        <v>15225</v>
      </c>
      <c r="G3" s="4" t="s">
        <v>208</v>
      </c>
      <c r="H3" s="4" t="s">
        <v>209</v>
      </c>
      <c r="I3" s="4" t="s">
        <v>234</v>
      </c>
      <c r="J3" s="16" t="s">
        <v>222</v>
      </c>
    </row>
    <row r="4" spans="1:10" x14ac:dyDescent="0.35">
      <c r="A4" s="17" t="s">
        <v>225</v>
      </c>
      <c r="B4" s="12">
        <v>46073</v>
      </c>
      <c r="C4" s="4" t="s">
        <v>140</v>
      </c>
      <c r="D4" s="9" t="s">
        <v>155</v>
      </c>
      <c r="E4" s="8" t="s">
        <v>184</v>
      </c>
      <c r="F4" s="14">
        <v>15000</v>
      </c>
      <c r="G4" s="4" t="s">
        <v>207</v>
      </c>
      <c r="H4" s="4" t="s">
        <v>209</v>
      </c>
      <c r="I4" s="4" t="s">
        <v>236</v>
      </c>
      <c r="J4" s="16" t="s">
        <v>222</v>
      </c>
    </row>
    <row r="5" spans="1:10" x14ac:dyDescent="0.35">
      <c r="A5" s="17" t="s">
        <v>226</v>
      </c>
      <c r="B5" s="12">
        <v>46091</v>
      </c>
      <c r="C5" s="4" t="s">
        <v>143</v>
      </c>
      <c r="D5" s="9" t="s">
        <v>158</v>
      </c>
      <c r="E5" s="8" t="s">
        <v>187</v>
      </c>
      <c r="F5" s="14">
        <v>26250</v>
      </c>
      <c r="G5" s="4" t="s">
        <v>207</v>
      </c>
      <c r="H5" s="4" t="s">
        <v>209</v>
      </c>
      <c r="I5" s="4" t="s">
        <v>237</v>
      </c>
      <c r="J5" s="16" t="s">
        <v>222</v>
      </c>
    </row>
    <row r="6" spans="1:10" x14ac:dyDescent="0.35">
      <c r="A6" s="17" t="s">
        <v>227</v>
      </c>
      <c r="B6" s="12">
        <v>46096</v>
      </c>
      <c r="C6" s="4" t="s">
        <v>145</v>
      </c>
      <c r="D6" s="9" t="s">
        <v>160</v>
      </c>
      <c r="E6" s="8" t="s">
        <v>189</v>
      </c>
      <c r="F6" s="14">
        <v>23100</v>
      </c>
      <c r="G6" s="4" t="s">
        <v>208</v>
      </c>
      <c r="H6" s="4" t="s">
        <v>209</v>
      </c>
      <c r="I6" s="4" t="s">
        <v>235</v>
      </c>
      <c r="J6" s="16" t="s">
        <v>222</v>
      </c>
    </row>
    <row r="7" spans="1:10" x14ac:dyDescent="0.35">
      <c r="A7" s="17" t="s">
        <v>228</v>
      </c>
      <c r="B7" s="12">
        <v>46101</v>
      </c>
      <c r="C7" s="4" t="s">
        <v>147</v>
      </c>
      <c r="D7" s="9" t="s">
        <v>162</v>
      </c>
      <c r="E7" s="8" t="s">
        <v>191</v>
      </c>
      <c r="F7" s="14">
        <v>36750</v>
      </c>
      <c r="G7" s="4" t="s">
        <v>207</v>
      </c>
      <c r="H7" s="4" t="s">
        <v>209</v>
      </c>
      <c r="I7" s="4" t="s">
        <v>238</v>
      </c>
      <c r="J7" s="16" t="s">
        <v>222</v>
      </c>
    </row>
    <row r="8" spans="1:10" x14ac:dyDescent="0.35">
      <c r="A8" s="17" t="s">
        <v>229</v>
      </c>
      <c r="B8" s="12">
        <v>46106</v>
      </c>
      <c r="C8" s="4" t="s">
        <v>144</v>
      </c>
      <c r="D8" s="9" t="s">
        <v>159</v>
      </c>
      <c r="E8" s="8" t="s">
        <v>188</v>
      </c>
      <c r="F8" s="14">
        <v>10000</v>
      </c>
      <c r="G8" s="4" t="s">
        <v>207</v>
      </c>
      <c r="H8" s="4" t="s">
        <v>209</v>
      </c>
      <c r="I8" s="4" t="s">
        <v>239</v>
      </c>
      <c r="J8" s="16" t="s">
        <v>222</v>
      </c>
    </row>
    <row r="9" spans="1:10" x14ac:dyDescent="0.35">
      <c r="A9" s="17" t="s">
        <v>230</v>
      </c>
      <c r="B9" s="12">
        <v>46117</v>
      </c>
      <c r="C9" s="4" t="s">
        <v>149</v>
      </c>
      <c r="D9" s="9" t="s">
        <v>164</v>
      </c>
      <c r="E9" s="8" t="s">
        <v>193</v>
      </c>
      <c r="F9" s="14">
        <v>30000</v>
      </c>
      <c r="G9" s="4" t="s">
        <v>207</v>
      </c>
      <c r="H9" s="4" t="s">
        <v>209</v>
      </c>
      <c r="I9" s="4" t="s">
        <v>240</v>
      </c>
      <c r="J9" s="16" t="s">
        <v>222</v>
      </c>
    </row>
    <row r="10" spans="1:10" x14ac:dyDescent="0.35">
      <c r="A10" s="17" t="s">
        <v>231</v>
      </c>
      <c r="B10" s="12">
        <v>46091</v>
      </c>
      <c r="C10" s="4" t="s">
        <v>139</v>
      </c>
      <c r="D10" s="9" t="s">
        <v>154</v>
      </c>
      <c r="E10" s="8" t="s">
        <v>183</v>
      </c>
      <c r="F10" s="14">
        <v>40000</v>
      </c>
      <c r="G10" s="4" t="s">
        <v>208</v>
      </c>
      <c r="H10" s="4" t="s">
        <v>209</v>
      </c>
      <c r="I10" s="4" t="s">
        <v>241</v>
      </c>
      <c r="J10" s="16" t="s">
        <v>222</v>
      </c>
    </row>
    <row r="11" spans="1:10" x14ac:dyDescent="0.35">
      <c r="A11" s="31" t="s">
        <v>232</v>
      </c>
      <c r="B11" s="32">
        <v>46127</v>
      </c>
      <c r="C11" s="26" t="s">
        <v>150</v>
      </c>
      <c r="D11" s="25" t="s">
        <v>165</v>
      </c>
      <c r="E11" s="35" t="s">
        <v>194</v>
      </c>
      <c r="F11" s="34">
        <v>35000</v>
      </c>
      <c r="G11" s="26" t="s">
        <v>207</v>
      </c>
      <c r="H11" s="26" t="s">
        <v>209</v>
      </c>
      <c r="I11" s="26" t="s">
        <v>242</v>
      </c>
      <c r="J11" s="28" t="s">
        <v>222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1262-A4B7-4591-940F-55A6B6085B78}">
  <sheetPr>
    <tabColor theme="5" tint="0.39997558519241921"/>
  </sheetPr>
  <dimension ref="A1:G23"/>
  <sheetViews>
    <sheetView workbookViewId="0">
      <selection activeCell="F14" sqref="F14"/>
    </sheetView>
  </sheetViews>
  <sheetFormatPr defaultRowHeight="18" x14ac:dyDescent="0.35"/>
  <cols>
    <col min="1" max="1" width="19.6640625" customWidth="1"/>
    <col min="2" max="2" width="51.109375" bestFit="1" customWidth="1"/>
    <col min="3" max="3" width="22.77734375" customWidth="1"/>
    <col min="4" max="4" width="25.5546875" style="3" bestFit="1" customWidth="1"/>
    <col min="5" max="5" width="22.44140625" style="3" bestFit="1" customWidth="1"/>
    <col min="6" max="6" width="23.33203125" style="3" bestFit="1" customWidth="1"/>
    <col min="7" max="7" width="20.6640625" style="3" customWidth="1"/>
  </cols>
  <sheetData>
    <row r="1" spans="1:7" x14ac:dyDescent="0.3">
      <c r="A1" s="20" t="s">
        <v>42</v>
      </c>
      <c r="B1" s="21" t="s">
        <v>43</v>
      </c>
      <c r="C1" s="21" t="s">
        <v>44</v>
      </c>
      <c r="D1" s="21" t="s">
        <v>45</v>
      </c>
      <c r="E1" s="21" t="s">
        <v>46</v>
      </c>
      <c r="F1" s="21" t="s">
        <v>47</v>
      </c>
      <c r="G1" s="23" t="s">
        <v>6</v>
      </c>
    </row>
    <row r="2" spans="1:7" x14ac:dyDescent="0.35">
      <c r="A2" s="46">
        <v>1000</v>
      </c>
      <c r="B2" s="47" t="s">
        <v>26</v>
      </c>
      <c r="C2" s="47" t="s">
        <v>53</v>
      </c>
      <c r="D2" s="8" t="s">
        <v>74</v>
      </c>
      <c r="E2" s="8" t="s">
        <v>75</v>
      </c>
      <c r="F2" s="8" t="s">
        <v>80</v>
      </c>
      <c r="G2" s="29" t="s">
        <v>82</v>
      </c>
    </row>
    <row r="3" spans="1:7" x14ac:dyDescent="0.35">
      <c r="A3" s="37">
        <v>1010</v>
      </c>
      <c r="B3" s="5" t="s">
        <v>54</v>
      </c>
      <c r="C3" s="5" t="s">
        <v>53</v>
      </c>
      <c r="D3" s="8" t="s">
        <v>74</v>
      </c>
      <c r="E3" s="8" t="s">
        <v>75</v>
      </c>
      <c r="F3" s="8" t="s">
        <v>80</v>
      </c>
      <c r="G3" s="29" t="s">
        <v>82</v>
      </c>
    </row>
    <row r="4" spans="1:7" x14ac:dyDescent="0.35">
      <c r="A4" s="46">
        <v>1100</v>
      </c>
      <c r="B4" s="47" t="s">
        <v>27</v>
      </c>
      <c r="C4" s="47" t="s">
        <v>53</v>
      </c>
      <c r="D4" s="48" t="s">
        <v>74</v>
      </c>
      <c r="E4" s="8" t="s">
        <v>75</v>
      </c>
      <c r="F4" s="8" t="s">
        <v>80</v>
      </c>
      <c r="G4" s="29" t="s">
        <v>82</v>
      </c>
    </row>
    <row r="5" spans="1:7" x14ac:dyDescent="0.35">
      <c r="A5" s="37">
        <v>1150</v>
      </c>
      <c r="B5" s="5" t="s">
        <v>28</v>
      </c>
      <c r="C5" s="5" t="s">
        <v>53</v>
      </c>
      <c r="D5" s="8" t="s">
        <v>74</v>
      </c>
      <c r="E5" s="8" t="s">
        <v>76</v>
      </c>
      <c r="F5" s="8" t="s">
        <v>81</v>
      </c>
      <c r="G5" s="29" t="s">
        <v>82</v>
      </c>
    </row>
    <row r="6" spans="1:7" x14ac:dyDescent="0.35">
      <c r="A6" s="46">
        <v>1200</v>
      </c>
      <c r="B6" s="49" t="s">
        <v>55</v>
      </c>
      <c r="C6" s="47" t="s">
        <v>53</v>
      </c>
      <c r="D6" s="8" t="s">
        <v>74</v>
      </c>
      <c r="E6" s="8" t="s">
        <v>75</v>
      </c>
      <c r="F6" s="8" t="s">
        <v>80</v>
      </c>
      <c r="G6" s="29" t="s">
        <v>82</v>
      </c>
    </row>
    <row r="7" spans="1:7" x14ac:dyDescent="0.35">
      <c r="A7" s="37">
        <v>1300</v>
      </c>
      <c r="B7" s="5" t="s">
        <v>63</v>
      </c>
      <c r="C7" s="5" t="s">
        <v>53</v>
      </c>
      <c r="D7" s="8" t="s">
        <v>74</v>
      </c>
      <c r="E7" s="8" t="s">
        <v>75</v>
      </c>
      <c r="F7" s="8" t="s">
        <v>80</v>
      </c>
      <c r="G7" s="29" t="s">
        <v>82</v>
      </c>
    </row>
    <row r="8" spans="1:7" x14ac:dyDescent="0.35">
      <c r="A8" s="46">
        <v>2000</v>
      </c>
      <c r="B8" s="50" t="s">
        <v>29</v>
      </c>
      <c r="C8" s="51" t="s">
        <v>56</v>
      </c>
      <c r="D8" s="8" t="s">
        <v>77</v>
      </c>
      <c r="E8" s="8" t="s">
        <v>76</v>
      </c>
      <c r="F8" s="51" t="s">
        <v>56</v>
      </c>
      <c r="G8" s="29" t="s">
        <v>82</v>
      </c>
    </row>
    <row r="9" spans="1:7" x14ac:dyDescent="0.35">
      <c r="A9" s="37">
        <v>2100</v>
      </c>
      <c r="B9" s="6" t="s">
        <v>31</v>
      </c>
      <c r="C9" s="6" t="s">
        <v>56</v>
      </c>
      <c r="D9" s="8" t="s">
        <v>77</v>
      </c>
      <c r="E9" s="8" t="s">
        <v>76</v>
      </c>
      <c r="F9" s="6" t="s">
        <v>56</v>
      </c>
      <c r="G9" s="29" t="s">
        <v>82</v>
      </c>
    </row>
    <row r="10" spans="1:7" x14ac:dyDescent="0.35">
      <c r="A10" s="52">
        <v>2200</v>
      </c>
      <c r="B10" s="51" t="s">
        <v>57</v>
      </c>
      <c r="C10" s="51" t="s">
        <v>56</v>
      </c>
      <c r="D10" s="8" t="s">
        <v>77</v>
      </c>
      <c r="E10" s="8" t="s">
        <v>76</v>
      </c>
      <c r="F10" s="51" t="s">
        <v>56</v>
      </c>
      <c r="G10" s="29" t="s">
        <v>82</v>
      </c>
    </row>
    <row r="11" spans="1:7" x14ac:dyDescent="0.35">
      <c r="A11" s="37">
        <v>3000</v>
      </c>
      <c r="B11" s="6" t="s">
        <v>64</v>
      </c>
      <c r="C11" s="6" t="s">
        <v>58</v>
      </c>
      <c r="D11" s="6" t="s">
        <v>58</v>
      </c>
      <c r="E11" s="8" t="s">
        <v>76</v>
      </c>
      <c r="F11" s="6" t="s">
        <v>58</v>
      </c>
      <c r="G11" s="29" t="s">
        <v>82</v>
      </c>
    </row>
    <row r="12" spans="1:7" x14ac:dyDescent="0.35">
      <c r="A12" s="46">
        <v>3100</v>
      </c>
      <c r="B12" s="29" t="s">
        <v>59</v>
      </c>
      <c r="C12" s="29" t="s">
        <v>58</v>
      </c>
      <c r="D12" s="29" t="s">
        <v>58</v>
      </c>
      <c r="E12" s="29" t="s">
        <v>76</v>
      </c>
      <c r="F12" s="29" t="s">
        <v>58</v>
      </c>
      <c r="G12" s="29" t="s">
        <v>82</v>
      </c>
    </row>
    <row r="13" spans="1:7" x14ac:dyDescent="0.35">
      <c r="A13" s="38">
        <v>4000</v>
      </c>
      <c r="B13" s="7" t="s">
        <v>30</v>
      </c>
      <c r="C13" s="5" t="s">
        <v>60</v>
      </c>
      <c r="D13" s="8" t="s">
        <v>78</v>
      </c>
      <c r="E13" s="8" t="s">
        <v>76</v>
      </c>
      <c r="F13" s="5" t="s">
        <v>60</v>
      </c>
      <c r="G13" s="29" t="s">
        <v>82</v>
      </c>
    </row>
    <row r="14" spans="1:7" x14ac:dyDescent="0.35">
      <c r="A14" s="52">
        <v>4100</v>
      </c>
      <c r="B14" s="51" t="s">
        <v>65</v>
      </c>
      <c r="C14" s="49" t="s">
        <v>60</v>
      </c>
      <c r="D14" s="8" t="s">
        <v>78</v>
      </c>
      <c r="E14" s="8" t="s">
        <v>75</v>
      </c>
      <c r="F14" s="49" t="s">
        <v>60</v>
      </c>
      <c r="G14" s="29" t="s">
        <v>82</v>
      </c>
    </row>
    <row r="15" spans="1:7" x14ac:dyDescent="0.35">
      <c r="A15" s="38">
        <v>4200</v>
      </c>
      <c r="B15" s="7" t="s">
        <v>66</v>
      </c>
      <c r="C15" s="5" t="s">
        <v>60</v>
      </c>
      <c r="D15" s="8" t="s">
        <v>78</v>
      </c>
      <c r="E15" s="8" t="s">
        <v>75</v>
      </c>
      <c r="F15" s="5" t="s">
        <v>60</v>
      </c>
      <c r="G15" s="29" t="s">
        <v>82</v>
      </c>
    </row>
    <row r="16" spans="1:7" x14ac:dyDescent="0.35">
      <c r="A16" s="52">
        <v>5000</v>
      </c>
      <c r="B16" s="50" t="s">
        <v>62</v>
      </c>
      <c r="C16" s="50" t="s">
        <v>61</v>
      </c>
      <c r="D16" s="48" t="s">
        <v>79</v>
      </c>
      <c r="E16" s="48" t="s">
        <v>75</v>
      </c>
      <c r="F16" s="50" t="s">
        <v>61</v>
      </c>
      <c r="G16" s="53" t="s">
        <v>82</v>
      </c>
    </row>
    <row r="17" spans="1:7" x14ac:dyDescent="0.35">
      <c r="A17" s="38">
        <v>5100</v>
      </c>
      <c r="B17" s="7" t="s">
        <v>67</v>
      </c>
      <c r="C17" s="6" t="s">
        <v>61</v>
      </c>
      <c r="D17" s="8" t="s">
        <v>79</v>
      </c>
      <c r="E17" s="8" t="s">
        <v>75</v>
      </c>
      <c r="F17" s="6" t="s">
        <v>61</v>
      </c>
      <c r="G17" s="29" t="s">
        <v>82</v>
      </c>
    </row>
    <row r="18" spans="1:7" x14ac:dyDescent="0.35">
      <c r="A18" s="52">
        <v>5200</v>
      </c>
      <c r="B18" s="51" t="s">
        <v>68</v>
      </c>
      <c r="C18" s="50" t="s">
        <v>61</v>
      </c>
      <c r="D18" s="8" t="s">
        <v>79</v>
      </c>
      <c r="E18" s="8" t="s">
        <v>76</v>
      </c>
      <c r="F18" s="50" t="s">
        <v>61</v>
      </c>
      <c r="G18" s="29" t="s">
        <v>82</v>
      </c>
    </row>
    <row r="19" spans="1:7" x14ac:dyDescent="0.35">
      <c r="A19" s="38">
        <v>5300</v>
      </c>
      <c r="B19" s="7" t="s">
        <v>69</v>
      </c>
      <c r="C19" s="6" t="s">
        <v>61</v>
      </c>
      <c r="D19" s="8" t="s">
        <v>79</v>
      </c>
      <c r="E19" s="8" t="s">
        <v>76</v>
      </c>
      <c r="F19" s="6" t="s">
        <v>61</v>
      </c>
      <c r="G19" s="29" t="s">
        <v>82</v>
      </c>
    </row>
    <row r="20" spans="1:7" x14ac:dyDescent="0.35">
      <c r="A20" s="52">
        <v>5400</v>
      </c>
      <c r="B20" s="50" t="s">
        <v>70</v>
      </c>
      <c r="C20" s="50" t="s">
        <v>61</v>
      </c>
      <c r="D20" s="8" t="s">
        <v>79</v>
      </c>
      <c r="E20" s="8" t="s">
        <v>75</v>
      </c>
      <c r="F20" s="50" t="s">
        <v>61</v>
      </c>
      <c r="G20" s="29" t="s">
        <v>82</v>
      </c>
    </row>
    <row r="21" spans="1:7" x14ac:dyDescent="0.35">
      <c r="A21" s="38">
        <v>5500</v>
      </c>
      <c r="B21" s="7" t="s">
        <v>72</v>
      </c>
      <c r="C21" s="6" t="s">
        <v>61</v>
      </c>
      <c r="D21" s="8" t="s">
        <v>79</v>
      </c>
      <c r="E21" s="8" t="s">
        <v>75</v>
      </c>
      <c r="F21" s="6" t="s">
        <v>61</v>
      </c>
      <c r="G21" s="29" t="s">
        <v>82</v>
      </c>
    </row>
    <row r="22" spans="1:7" x14ac:dyDescent="0.35">
      <c r="A22" s="46">
        <v>5600</v>
      </c>
      <c r="B22" s="49" t="s">
        <v>71</v>
      </c>
      <c r="C22" s="47" t="s">
        <v>61</v>
      </c>
      <c r="D22" s="8" t="s">
        <v>79</v>
      </c>
      <c r="E22" s="8" t="s">
        <v>75</v>
      </c>
      <c r="F22" s="47" t="s">
        <v>61</v>
      </c>
      <c r="G22" s="29" t="s">
        <v>82</v>
      </c>
    </row>
    <row r="23" spans="1:7" x14ac:dyDescent="0.35">
      <c r="A23" s="39">
        <v>5700</v>
      </c>
      <c r="B23" s="40" t="s">
        <v>73</v>
      </c>
      <c r="C23" s="41" t="s">
        <v>61</v>
      </c>
      <c r="D23" s="35" t="s">
        <v>79</v>
      </c>
      <c r="E23" s="35" t="s">
        <v>75</v>
      </c>
      <c r="F23" s="41" t="s">
        <v>61</v>
      </c>
      <c r="G23" s="36" t="s">
        <v>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B63B-0972-4977-AF5A-B71680154B1F}">
  <sheetPr>
    <tabColor rgb="FFCCCC00"/>
  </sheetPr>
  <dimension ref="A1:J1"/>
  <sheetViews>
    <sheetView workbookViewId="0">
      <selection activeCell="J1" sqref="J1"/>
    </sheetView>
  </sheetViews>
  <sheetFormatPr defaultRowHeight="18" x14ac:dyDescent="0.3"/>
  <cols>
    <col min="1" max="1" width="17.88671875" style="2" customWidth="1"/>
    <col min="2" max="2" width="23.33203125" style="2" customWidth="1"/>
    <col min="3" max="7" width="17.88671875" style="2" customWidth="1"/>
    <col min="8" max="8" width="20.5546875" style="2" customWidth="1"/>
    <col min="9" max="10" width="17.88671875" style="2" customWidth="1"/>
  </cols>
  <sheetData>
    <row r="1" spans="1:10" x14ac:dyDescent="0.3">
      <c r="A1" s="2" t="s">
        <v>32</v>
      </c>
      <c r="B1" s="2" t="s">
        <v>33</v>
      </c>
      <c r="C1" s="2" t="s">
        <v>34</v>
      </c>
      <c r="D1" s="2" t="s">
        <v>48</v>
      </c>
      <c r="E1" s="2" t="s">
        <v>49</v>
      </c>
      <c r="F1" s="2" t="s">
        <v>35</v>
      </c>
      <c r="G1" s="2" t="s">
        <v>50</v>
      </c>
      <c r="H1" s="2" t="s">
        <v>51</v>
      </c>
      <c r="I1" s="2" t="s">
        <v>36</v>
      </c>
      <c r="J1" s="2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63DF-5B51-4E6B-A6CB-96946749B3E5}">
  <sheetPr>
    <tabColor rgb="FFCCCC00"/>
  </sheetPr>
  <dimension ref="A1:F23"/>
  <sheetViews>
    <sheetView workbookViewId="0">
      <selection activeCell="E6" sqref="E6"/>
    </sheetView>
  </sheetViews>
  <sheetFormatPr defaultRowHeight="18" x14ac:dyDescent="0.3"/>
  <cols>
    <col min="1" max="1" width="20.33203125" style="2" bestFit="1" customWidth="1"/>
    <col min="2" max="2" width="51.109375" style="2" bestFit="1" customWidth="1"/>
    <col min="3" max="3" width="19.5546875" style="2" bestFit="1" customWidth="1"/>
    <col min="4" max="4" width="12.77734375" style="42" bestFit="1" customWidth="1"/>
    <col min="5" max="5" width="13.6640625" style="42" bestFit="1" customWidth="1"/>
  </cols>
  <sheetData>
    <row r="1" spans="1:5" x14ac:dyDescent="0.3">
      <c r="A1" s="55" t="s">
        <v>42</v>
      </c>
      <c r="B1" s="56" t="s">
        <v>43</v>
      </c>
      <c r="C1" s="21" t="s">
        <v>44</v>
      </c>
      <c r="D1" s="57" t="s">
        <v>75</v>
      </c>
      <c r="E1" s="58" t="s">
        <v>76</v>
      </c>
    </row>
    <row r="2" spans="1:5" x14ac:dyDescent="0.3">
      <c r="A2" s="19">
        <v>1000</v>
      </c>
      <c r="B2" s="4" t="str">
        <f>_xlfn.XLOOKUP(A2,'[1]Chart of Accounts'!A:A,'[1]Chart of Accounts'!B:B,"")</f>
        <v>Cash</v>
      </c>
      <c r="C2" s="4"/>
      <c r="D2" s="43">
        <v>0</v>
      </c>
      <c r="E2" s="54">
        <v>0</v>
      </c>
    </row>
    <row r="3" spans="1:5" x14ac:dyDescent="0.3">
      <c r="A3" s="19">
        <v>1200</v>
      </c>
      <c r="B3" s="4" t="str">
        <f>_xlfn.XLOOKUP(A3,'[1]Chart of Accounts'!A:A,'[1]Chart of Accounts'!B:B,"")</f>
        <v>Account Receivable</v>
      </c>
      <c r="C3" s="4"/>
      <c r="D3" s="43">
        <v>0</v>
      </c>
      <c r="E3" s="54">
        <v>0</v>
      </c>
    </row>
    <row r="4" spans="1:5" x14ac:dyDescent="0.3">
      <c r="A4" s="19">
        <v>1300</v>
      </c>
      <c r="B4" s="4" t="str">
        <f>_xlfn.XLOOKUP(A4,'[1]Chart of Accounts'!A:A,'[1]Chart of Accounts'!B:B,"")</f>
        <v>Inventory</v>
      </c>
      <c r="C4" s="4"/>
      <c r="D4" s="43">
        <v>183000</v>
      </c>
      <c r="E4" s="54">
        <v>0</v>
      </c>
    </row>
    <row r="5" spans="1:5" x14ac:dyDescent="0.3">
      <c r="A5" s="19">
        <v>1400</v>
      </c>
      <c r="B5" s="4" t="str">
        <f>_xlfn.XLOOKUP(A5,'[1]Chart of Accounts'!A:A,'[1]Chart of Accounts'!B:B,"")</f>
        <v>Fixed Assets</v>
      </c>
      <c r="C5" s="4"/>
      <c r="D5" s="43">
        <v>60000</v>
      </c>
      <c r="E5" s="54">
        <v>0</v>
      </c>
    </row>
    <row r="6" spans="1:5" x14ac:dyDescent="0.3">
      <c r="A6" s="19">
        <v>1450</v>
      </c>
      <c r="B6" s="4" t="str">
        <f>_xlfn.XLOOKUP(A6,'[1]Chart of Accounts'!A:A,'[1]Chart of Accounts'!B:B,"")</f>
        <v>Accumulated Deprecuation - Office Equipment</v>
      </c>
      <c r="C6" s="4"/>
      <c r="D6" s="43">
        <v>0</v>
      </c>
      <c r="E6" s="54">
        <v>1000</v>
      </c>
    </row>
    <row r="7" spans="1:5" x14ac:dyDescent="0.3">
      <c r="A7" s="19">
        <v>1500</v>
      </c>
      <c r="B7" s="4" t="str">
        <f>_xlfn.XLOOKUP(A7,'[1]Chart of Accounts'!A:A,'[1]Chart of Accounts'!B:B,"")</f>
        <v>Prepaid Rent</v>
      </c>
      <c r="C7" s="4"/>
      <c r="D7" s="43">
        <v>6000</v>
      </c>
      <c r="E7" s="54">
        <v>0</v>
      </c>
    </row>
    <row r="8" spans="1:5" x14ac:dyDescent="0.3">
      <c r="A8" s="19">
        <v>2000</v>
      </c>
      <c r="B8" s="4" t="str">
        <f>_xlfn.XLOOKUP(A8,'[1]Chart of Accounts'!A:A,'[1]Chart of Accounts'!B:B,"")</f>
        <v>Accrued Liabilites</v>
      </c>
      <c r="C8" s="4"/>
      <c r="D8" s="43">
        <v>0</v>
      </c>
      <c r="E8" s="54">
        <v>0</v>
      </c>
    </row>
    <row r="9" spans="1:5" x14ac:dyDescent="0.3">
      <c r="A9" s="19">
        <v>2100</v>
      </c>
      <c r="B9" s="4" t="str">
        <f>_xlfn.XLOOKUP(A9,'[1]Chart of Accounts'!A:A,'[1]Chart of Accounts'!B:B,"")</f>
        <v>Account Payable</v>
      </c>
      <c r="C9" s="4"/>
      <c r="D9" s="43">
        <v>0</v>
      </c>
      <c r="E9" s="54">
        <v>80000</v>
      </c>
    </row>
    <row r="10" spans="1:5" x14ac:dyDescent="0.3">
      <c r="A10" s="19">
        <v>2200</v>
      </c>
      <c r="B10" s="4" t="str">
        <f>_xlfn.XLOOKUP(A10,'[1]Chart of Accounts'!A:A,'[1]Chart of Accounts'!B:B,"")</f>
        <v>Accrued Expenses</v>
      </c>
      <c r="C10" s="4"/>
      <c r="D10" s="43">
        <v>0</v>
      </c>
      <c r="E10" s="54">
        <v>3000</v>
      </c>
    </row>
    <row r="11" spans="1:5" x14ac:dyDescent="0.3">
      <c r="A11" s="19">
        <v>2400</v>
      </c>
      <c r="B11" s="4" t="s">
        <v>244</v>
      </c>
      <c r="C11" s="4"/>
      <c r="D11" s="43">
        <v>0</v>
      </c>
      <c r="E11" s="54">
        <v>54000</v>
      </c>
    </row>
    <row r="12" spans="1:5" x14ac:dyDescent="0.3">
      <c r="A12" s="19">
        <v>3100</v>
      </c>
      <c r="B12" s="4" t="str">
        <f>_xlfn.XLOOKUP(A12,'[1]Chart of Accounts'!A:A,'[1]Chart of Accounts'!B:B,"")</f>
        <v>Capital</v>
      </c>
      <c r="C12" s="4"/>
      <c r="D12" s="43">
        <v>0</v>
      </c>
      <c r="E12" s="54">
        <v>105000</v>
      </c>
    </row>
    <row r="13" spans="1:5" x14ac:dyDescent="0.3">
      <c r="A13" s="19">
        <v>3200</v>
      </c>
      <c r="B13" s="4" t="str">
        <f>_xlfn.XLOOKUP(A13,'[1]Chart of Accounts'!A:A,'[1]Chart of Accounts'!B:B,"")</f>
        <v>Retained Earnings</v>
      </c>
      <c r="C13" s="4"/>
      <c r="D13" s="43">
        <v>0</v>
      </c>
      <c r="E13" s="54">
        <v>6000</v>
      </c>
    </row>
    <row r="14" spans="1:5" x14ac:dyDescent="0.3">
      <c r="A14" s="19">
        <v>3900</v>
      </c>
      <c r="B14" s="4" t="s">
        <v>243</v>
      </c>
      <c r="C14" s="4"/>
      <c r="D14" s="43">
        <v>0</v>
      </c>
      <c r="E14" s="54">
        <v>0</v>
      </c>
    </row>
    <row r="15" spans="1:5" x14ac:dyDescent="0.3">
      <c r="A15" s="19">
        <v>4100</v>
      </c>
      <c r="B15" s="4" t="str">
        <f>_xlfn.XLOOKUP(A15,'[1]Chart of Accounts'!A:A,'[1]Chart of Accounts'!B:B,"")</f>
        <v>Sales Revenue</v>
      </c>
      <c r="C15" s="4"/>
      <c r="D15" s="43">
        <v>0</v>
      </c>
      <c r="E15" s="54">
        <v>0</v>
      </c>
    </row>
    <row r="16" spans="1:5" x14ac:dyDescent="0.3">
      <c r="A16" s="19">
        <v>5100</v>
      </c>
      <c r="B16" s="4" t="str">
        <f>_xlfn.XLOOKUP(A16,'[1]Chart of Accounts'!A:A,'[1]Chart of Accounts'!B:B,"")</f>
        <v>Cost of Goods Sold</v>
      </c>
      <c r="C16" s="4"/>
      <c r="D16" s="43">
        <v>0</v>
      </c>
      <c r="E16" s="54">
        <v>0</v>
      </c>
    </row>
    <row r="17" spans="1:6" x14ac:dyDescent="0.3">
      <c r="A17" s="19">
        <v>5200</v>
      </c>
      <c r="B17" s="4" t="str">
        <f>_xlfn.XLOOKUP(A17,'[1]Chart of Accounts'!A:A,'[1]Chart of Accounts'!B:B,"")</f>
        <v>Salaries Expense</v>
      </c>
      <c r="C17" s="4"/>
      <c r="D17" s="43">
        <v>0</v>
      </c>
      <c r="E17" s="54">
        <v>0</v>
      </c>
    </row>
    <row r="18" spans="1:6" x14ac:dyDescent="0.3">
      <c r="A18" s="19">
        <v>5300</v>
      </c>
      <c r="B18" s="4" t="str">
        <f>_xlfn.XLOOKUP(A18,'[1]Chart of Accounts'!A:A,'[1]Chart of Accounts'!B:B,"")</f>
        <v>Rent Expense</v>
      </c>
      <c r="C18" s="4"/>
      <c r="D18" s="43">
        <v>0</v>
      </c>
      <c r="E18" s="54">
        <v>0</v>
      </c>
    </row>
    <row r="19" spans="1:6" x14ac:dyDescent="0.3">
      <c r="A19" s="19">
        <v>5400</v>
      </c>
      <c r="B19" s="4" t="str">
        <f>_xlfn.XLOOKUP(A19,'[1]Chart of Accounts'!A:A,'[1]Chart of Accounts'!B:B,"")</f>
        <v>Electricity Expense</v>
      </c>
      <c r="C19" s="4"/>
      <c r="D19" s="43">
        <v>0</v>
      </c>
      <c r="E19" s="54">
        <v>0</v>
      </c>
    </row>
    <row r="20" spans="1:6" x14ac:dyDescent="0.3">
      <c r="A20" s="19">
        <v>5500</v>
      </c>
      <c r="B20" s="4" t="str">
        <f>_xlfn.XLOOKUP(A20,'[1]Chart of Accounts'!A:A,'[1]Chart of Accounts'!B:B,"")</f>
        <v>Internet Expense</v>
      </c>
      <c r="C20" s="4"/>
      <c r="D20" s="43">
        <v>0</v>
      </c>
      <c r="E20" s="54">
        <v>0</v>
      </c>
    </row>
    <row r="21" spans="1:6" x14ac:dyDescent="0.3">
      <c r="A21" s="24">
        <v>5700</v>
      </c>
      <c r="B21" s="26" t="str">
        <f>_xlfn.XLOOKUP(A21,'[1]Chart of Accounts'!A:A,'[1]Chart of Accounts'!B:B,"")</f>
        <v>Office Supplies Expense</v>
      </c>
      <c r="C21" s="26"/>
      <c r="D21" s="59">
        <v>0</v>
      </c>
      <c r="E21" s="60">
        <v>0</v>
      </c>
    </row>
    <row r="22" spans="1:6" x14ac:dyDescent="0.3">
      <c r="A22" s="4"/>
      <c r="B22" s="4"/>
      <c r="C22" s="4"/>
      <c r="D22" s="43"/>
      <c r="E22" s="43"/>
    </row>
    <row r="23" spans="1:6" x14ac:dyDescent="0.3">
      <c r="A23" s="4"/>
      <c r="B23" s="4"/>
      <c r="C23" s="4"/>
      <c r="D23" s="43">
        <f>SUM(D2:D22)</f>
        <v>249000</v>
      </c>
      <c r="E23" s="43">
        <f>SUM(E6:E22)</f>
        <v>249000</v>
      </c>
      <c r="F23" s="44">
        <f>D23-E23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F8A9-857C-4A95-B10F-D2E564FD5C11}">
  <sheetPr>
    <tabColor rgb="FF996600"/>
  </sheetPr>
  <dimension ref="A1:F18"/>
  <sheetViews>
    <sheetView workbookViewId="0">
      <selection sqref="A1:B18"/>
    </sheetView>
  </sheetViews>
  <sheetFormatPr defaultRowHeight="18" x14ac:dyDescent="0.3"/>
  <cols>
    <col min="1" max="1" width="27.109375" style="2" bestFit="1" customWidth="1"/>
    <col min="2" max="2" width="15.33203125" style="42" bestFit="1" customWidth="1"/>
    <col min="3" max="6" width="8.88671875" style="2"/>
  </cols>
  <sheetData>
    <row r="1" spans="1:2" x14ac:dyDescent="0.3">
      <c r="A1" s="20" t="s">
        <v>43</v>
      </c>
      <c r="B1" s="58" t="s">
        <v>253</v>
      </c>
    </row>
    <row r="2" spans="1:2" x14ac:dyDescent="0.3">
      <c r="A2" s="19" t="s">
        <v>30</v>
      </c>
      <c r="B2" s="54">
        <v>115000</v>
      </c>
    </row>
    <row r="3" spans="1:2" x14ac:dyDescent="0.3">
      <c r="A3" s="19" t="s">
        <v>252</v>
      </c>
      <c r="B3" s="54">
        <v>67000</v>
      </c>
    </row>
    <row r="4" spans="1:2" x14ac:dyDescent="0.3">
      <c r="A4" s="19"/>
      <c r="B4" s="54"/>
    </row>
    <row r="5" spans="1:2" x14ac:dyDescent="0.3">
      <c r="A5" s="19" t="s">
        <v>251</v>
      </c>
      <c r="B5" s="54">
        <f>B2-B3</f>
        <v>48000</v>
      </c>
    </row>
    <row r="6" spans="1:2" x14ac:dyDescent="0.3">
      <c r="A6" s="19"/>
      <c r="B6" s="54"/>
    </row>
    <row r="7" spans="1:2" x14ac:dyDescent="0.3">
      <c r="A7" s="19" t="s">
        <v>250</v>
      </c>
      <c r="B7" s="54">
        <v>15000</v>
      </c>
    </row>
    <row r="8" spans="1:2" x14ac:dyDescent="0.3">
      <c r="A8" s="19" t="s">
        <v>249</v>
      </c>
      <c r="B8" s="54">
        <v>5000</v>
      </c>
    </row>
    <row r="9" spans="1:2" x14ac:dyDescent="0.3">
      <c r="A9" s="19" t="s">
        <v>248</v>
      </c>
      <c r="B9" s="54">
        <v>1000</v>
      </c>
    </row>
    <row r="10" spans="1:2" x14ac:dyDescent="0.3">
      <c r="A10" s="19" t="s">
        <v>247</v>
      </c>
      <c r="B10" s="54">
        <v>6000</v>
      </c>
    </row>
    <row r="11" spans="1:2" x14ac:dyDescent="0.3">
      <c r="A11" s="19"/>
      <c r="B11" s="54"/>
    </row>
    <row r="12" spans="1:2" x14ac:dyDescent="0.3">
      <c r="A12" s="19" t="s">
        <v>246</v>
      </c>
      <c r="B12" s="54">
        <f>SUM(B7:B10)</f>
        <v>27000</v>
      </c>
    </row>
    <row r="13" spans="1:2" x14ac:dyDescent="0.3">
      <c r="A13" s="19"/>
      <c r="B13" s="54"/>
    </row>
    <row r="14" spans="1:2" x14ac:dyDescent="0.3">
      <c r="A14" s="19" t="s">
        <v>245</v>
      </c>
      <c r="B14" s="54">
        <f>B5-B12</f>
        <v>21000</v>
      </c>
    </row>
    <row r="15" spans="1:2" x14ac:dyDescent="0.3">
      <c r="A15" s="19"/>
      <c r="B15" s="54"/>
    </row>
    <row r="16" spans="1:2" x14ac:dyDescent="0.3">
      <c r="A16" s="19"/>
      <c r="B16" s="54"/>
    </row>
    <row r="17" spans="1:2" x14ac:dyDescent="0.3">
      <c r="A17" s="19"/>
      <c r="B17" s="54"/>
    </row>
    <row r="18" spans="1:2" x14ac:dyDescent="0.3">
      <c r="A18" s="24"/>
      <c r="B18" s="60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0DA8-3069-440D-A18F-89873143EDD1}">
  <sheetPr>
    <tabColor rgb="FFCCFF99"/>
  </sheetPr>
  <dimension ref="A1:C23"/>
  <sheetViews>
    <sheetView workbookViewId="0">
      <selection activeCell="A12" sqref="A12"/>
    </sheetView>
  </sheetViews>
  <sheetFormatPr defaultRowHeight="18" x14ac:dyDescent="0.35"/>
  <cols>
    <col min="1" max="1" width="35.44140625" style="3" bestFit="1" customWidth="1"/>
    <col min="2" max="2" width="15.33203125" style="68" bestFit="1" customWidth="1"/>
    <col min="3" max="3" width="8.88671875" style="45"/>
  </cols>
  <sheetData>
    <row r="1" spans="1:2" x14ac:dyDescent="0.35">
      <c r="A1" s="20" t="s">
        <v>43</v>
      </c>
      <c r="B1" s="64" t="s">
        <v>253</v>
      </c>
    </row>
    <row r="2" spans="1:2" x14ac:dyDescent="0.35">
      <c r="A2" s="19" t="s">
        <v>80</v>
      </c>
      <c r="B2" s="65"/>
    </row>
    <row r="3" spans="1:2" x14ac:dyDescent="0.35">
      <c r="A3" s="61" t="s">
        <v>26</v>
      </c>
      <c r="B3" s="66">
        <v>0</v>
      </c>
    </row>
    <row r="4" spans="1:2" x14ac:dyDescent="0.35">
      <c r="A4" s="62" t="s">
        <v>55</v>
      </c>
      <c r="B4" s="67">
        <v>183000</v>
      </c>
    </row>
    <row r="5" spans="1:2" x14ac:dyDescent="0.35">
      <c r="A5" s="63" t="s">
        <v>264</v>
      </c>
      <c r="B5" s="66">
        <v>6000</v>
      </c>
    </row>
    <row r="6" spans="1:2" x14ac:dyDescent="0.35">
      <c r="A6" s="62" t="s">
        <v>263</v>
      </c>
      <c r="B6" s="67">
        <v>60000</v>
      </c>
    </row>
    <row r="7" spans="1:2" x14ac:dyDescent="0.35">
      <c r="A7" s="63" t="s">
        <v>262</v>
      </c>
      <c r="B7" s="66">
        <v>1000</v>
      </c>
    </row>
    <row r="8" spans="1:2" x14ac:dyDescent="0.35">
      <c r="A8" s="62" t="s">
        <v>261</v>
      </c>
      <c r="B8" s="67">
        <f>B4+B5+B6-B7</f>
        <v>248000</v>
      </c>
    </row>
    <row r="9" spans="1:2" x14ac:dyDescent="0.35">
      <c r="A9" s="63"/>
      <c r="B9" s="66"/>
    </row>
    <row r="10" spans="1:2" x14ac:dyDescent="0.35">
      <c r="A10" s="62" t="s">
        <v>260</v>
      </c>
      <c r="B10" s="67"/>
    </row>
    <row r="11" spans="1:2" x14ac:dyDescent="0.35">
      <c r="A11" s="63" t="s">
        <v>259</v>
      </c>
      <c r="B11" s="66">
        <v>80000</v>
      </c>
    </row>
    <row r="12" spans="1:2" x14ac:dyDescent="0.35">
      <c r="A12" s="62" t="s">
        <v>27</v>
      </c>
      <c r="B12" s="67">
        <v>3000</v>
      </c>
    </row>
    <row r="13" spans="1:2" x14ac:dyDescent="0.35">
      <c r="A13" s="63" t="s">
        <v>244</v>
      </c>
      <c r="B13" s="66">
        <v>54000</v>
      </c>
    </row>
    <row r="14" spans="1:2" x14ac:dyDescent="0.35">
      <c r="A14" s="62" t="s">
        <v>258</v>
      </c>
      <c r="B14" s="67">
        <f>B11+B12+B13</f>
        <v>137000</v>
      </c>
    </row>
    <row r="15" spans="1:2" x14ac:dyDescent="0.35">
      <c r="A15" s="63"/>
      <c r="B15" s="66"/>
    </row>
    <row r="16" spans="1:2" x14ac:dyDescent="0.35">
      <c r="A16" s="62" t="s">
        <v>58</v>
      </c>
      <c r="B16" s="67"/>
    </row>
    <row r="17" spans="1:2" x14ac:dyDescent="0.35">
      <c r="A17" s="63" t="s">
        <v>257</v>
      </c>
      <c r="B17" s="66">
        <v>105000</v>
      </c>
    </row>
    <row r="18" spans="1:2" x14ac:dyDescent="0.35">
      <c r="A18" s="62" t="s">
        <v>59</v>
      </c>
      <c r="B18" s="67">
        <v>6000</v>
      </c>
    </row>
    <row r="19" spans="1:2" x14ac:dyDescent="0.35">
      <c r="A19" s="63" t="s">
        <v>256</v>
      </c>
      <c r="B19" s="66">
        <f>SUM(B17:B18)</f>
        <v>111000</v>
      </c>
    </row>
    <row r="20" spans="1:2" x14ac:dyDescent="0.35">
      <c r="A20" s="62"/>
      <c r="B20" s="67"/>
    </row>
    <row r="21" spans="1:2" x14ac:dyDescent="0.35">
      <c r="A21" s="63" t="s">
        <v>255</v>
      </c>
      <c r="B21" s="66">
        <f>B14+B19</f>
        <v>248000</v>
      </c>
    </row>
    <row r="22" spans="1:2" x14ac:dyDescent="0.35">
      <c r="A22" s="62"/>
      <c r="B22" s="67"/>
    </row>
    <row r="23" spans="1:2" x14ac:dyDescent="0.35">
      <c r="A23" s="63" t="s">
        <v>254</v>
      </c>
      <c r="B23" s="66">
        <f>B8-B21</f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5740-29B4-486B-B8BA-21440A020CB4}">
  <sheetPr>
    <tabColor rgb="FF00CC99"/>
  </sheetPr>
  <dimension ref="A1:B21"/>
  <sheetViews>
    <sheetView workbookViewId="0">
      <selection activeCell="E6" sqref="E6"/>
    </sheetView>
  </sheetViews>
  <sheetFormatPr defaultRowHeight="18" x14ac:dyDescent="0.3"/>
  <cols>
    <col min="1" max="1" width="39.21875" style="2" bestFit="1" customWidth="1"/>
    <col min="2" max="2" width="15.33203125" style="42" bestFit="1" customWidth="1"/>
  </cols>
  <sheetData>
    <row r="1" spans="1:2" x14ac:dyDescent="0.3">
      <c r="A1" s="20" t="s">
        <v>284</v>
      </c>
      <c r="B1" s="58" t="s">
        <v>253</v>
      </c>
    </row>
    <row r="2" spans="1:2" x14ac:dyDescent="0.3">
      <c r="A2" s="69" t="s">
        <v>283</v>
      </c>
      <c r="B2" s="71"/>
    </row>
    <row r="3" spans="1:2" x14ac:dyDescent="0.3">
      <c r="A3" s="19" t="s">
        <v>282</v>
      </c>
      <c r="B3" s="54">
        <v>45000</v>
      </c>
    </row>
    <row r="4" spans="1:2" x14ac:dyDescent="0.3">
      <c r="A4" s="19" t="s">
        <v>281</v>
      </c>
      <c r="B4" s="54">
        <v>40000</v>
      </c>
    </row>
    <row r="5" spans="1:2" x14ac:dyDescent="0.3">
      <c r="A5" s="19" t="s">
        <v>280</v>
      </c>
      <c r="B5" s="54">
        <v>-20000</v>
      </c>
    </row>
    <row r="6" spans="1:2" x14ac:dyDescent="0.3">
      <c r="A6" s="19" t="s">
        <v>279</v>
      </c>
      <c r="B6" s="54">
        <v>-20000</v>
      </c>
    </row>
    <row r="7" spans="1:2" x14ac:dyDescent="0.3">
      <c r="A7" s="19" t="s">
        <v>278</v>
      </c>
      <c r="B7" s="54">
        <f>SUM(B3:B6)</f>
        <v>45000</v>
      </c>
    </row>
    <row r="8" spans="1:2" x14ac:dyDescent="0.3">
      <c r="A8" s="70" t="s">
        <v>277</v>
      </c>
      <c r="B8" s="71"/>
    </row>
    <row r="9" spans="1:2" x14ac:dyDescent="0.3">
      <c r="A9" s="19" t="s">
        <v>276</v>
      </c>
      <c r="B9" s="54">
        <v>-60000</v>
      </c>
    </row>
    <row r="10" spans="1:2" x14ac:dyDescent="0.3">
      <c r="A10" s="19" t="s">
        <v>275</v>
      </c>
      <c r="B10" s="54">
        <f>SUM(B9)</f>
        <v>-60000</v>
      </c>
    </row>
    <row r="11" spans="1:2" x14ac:dyDescent="0.3">
      <c r="A11" s="70" t="s">
        <v>274</v>
      </c>
      <c r="B11" s="71"/>
    </row>
    <row r="12" spans="1:2" x14ac:dyDescent="0.3">
      <c r="A12" s="19" t="s">
        <v>273</v>
      </c>
      <c r="B12" s="54">
        <v>100000</v>
      </c>
    </row>
    <row r="13" spans="1:2" x14ac:dyDescent="0.3">
      <c r="A13" s="19" t="s">
        <v>244</v>
      </c>
      <c r="B13" s="54">
        <v>54000</v>
      </c>
    </row>
    <row r="14" spans="1:2" x14ac:dyDescent="0.3">
      <c r="A14" s="19" t="s">
        <v>272</v>
      </c>
      <c r="B14" s="54">
        <v>-10000</v>
      </c>
    </row>
    <row r="15" spans="1:2" x14ac:dyDescent="0.3">
      <c r="A15" s="19" t="s">
        <v>271</v>
      </c>
      <c r="B15" s="54">
        <f>SUM(B12:B14)</f>
        <v>144000</v>
      </c>
    </row>
    <row r="16" spans="1:2" x14ac:dyDescent="0.3">
      <c r="A16" s="69" t="s">
        <v>270</v>
      </c>
      <c r="B16" s="71"/>
    </row>
    <row r="17" spans="1:2" x14ac:dyDescent="0.3">
      <c r="A17" s="19" t="s">
        <v>269</v>
      </c>
      <c r="B17" s="54">
        <v>129000</v>
      </c>
    </row>
    <row r="18" spans="1:2" x14ac:dyDescent="0.3">
      <c r="A18" s="19" t="s">
        <v>268</v>
      </c>
      <c r="B18" s="54">
        <v>-129000</v>
      </c>
    </row>
    <row r="19" spans="1:2" x14ac:dyDescent="0.3">
      <c r="A19" s="19" t="s">
        <v>267</v>
      </c>
      <c r="B19" s="54">
        <f>SUM(B17:B18)</f>
        <v>0</v>
      </c>
    </row>
    <row r="20" spans="1:2" x14ac:dyDescent="0.3">
      <c r="A20" s="19" t="s">
        <v>266</v>
      </c>
      <c r="B20" s="54">
        <v>0</v>
      </c>
    </row>
    <row r="21" spans="1:2" x14ac:dyDescent="0.3">
      <c r="A21" s="24" t="s">
        <v>265</v>
      </c>
      <c r="B21" s="60">
        <f>B19-'Balance Sheet '!B3</f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5BB9-CC02-45CB-88C2-9E2B325BC3FF}">
  <dimension ref="A1:D16"/>
  <sheetViews>
    <sheetView workbookViewId="0">
      <selection activeCell="H7" sqref="H7"/>
    </sheetView>
  </sheetViews>
  <sheetFormatPr defaultRowHeight="18" x14ac:dyDescent="0.3"/>
  <cols>
    <col min="1" max="1" width="36" style="13" bestFit="1" customWidth="1"/>
    <col min="2" max="2" width="14.5546875" style="2" bestFit="1" customWidth="1"/>
    <col min="3" max="3" width="24.6640625" style="2" customWidth="1"/>
    <col min="4" max="4" width="20" customWidth="1"/>
  </cols>
  <sheetData>
    <row r="1" spans="1:4" x14ac:dyDescent="0.3">
      <c r="A1" s="4" t="s">
        <v>293</v>
      </c>
      <c r="B1" s="4" t="s">
        <v>0</v>
      </c>
      <c r="C1" s="4" t="s">
        <v>1</v>
      </c>
      <c r="D1" s="4" t="s">
        <v>294</v>
      </c>
    </row>
    <row r="2" spans="1:4" x14ac:dyDescent="0.3">
      <c r="A2" s="75" t="s">
        <v>152</v>
      </c>
      <c r="B2" s="4" t="s">
        <v>83</v>
      </c>
      <c r="C2" s="72" t="s">
        <v>103</v>
      </c>
      <c r="D2" s="72"/>
    </row>
    <row r="3" spans="1:4" x14ac:dyDescent="0.3">
      <c r="A3" s="76" t="s">
        <v>153</v>
      </c>
      <c r="B3" s="4" t="s">
        <v>84</v>
      </c>
      <c r="C3" s="73" t="s">
        <v>104</v>
      </c>
      <c r="D3" s="72"/>
    </row>
    <row r="4" spans="1:4" x14ac:dyDescent="0.3">
      <c r="A4" s="75" t="s">
        <v>154</v>
      </c>
      <c r="B4" s="4" t="s">
        <v>85</v>
      </c>
      <c r="C4" s="72" t="s">
        <v>105</v>
      </c>
      <c r="D4" s="72"/>
    </row>
    <row r="5" spans="1:4" x14ac:dyDescent="0.3">
      <c r="A5" s="76" t="s">
        <v>155</v>
      </c>
      <c r="B5" s="4" t="s">
        <v>86</v>
      </c>
      <c r="C5" s="73" t="s">
        <v>106</v>
      </c>
      <c r="D5" s="72"/>
    </row>
    <row r="6" spans="1:4" x14ac:dyDescent="0.3">
      <c r="A6" s="75" t="s">
        <v>156</v>
      </c>
      <c r="B6" s="4" t="s">
        <v>87</v>
      </c>
      <c r="C6" s="72" t="s">
        <v>107</v>
      </c>
      <c r="D6" s="72"/>
    </row>
    <row r="7" spans="1:4" x14ac:dyDescent="0.3">
      <c r="A7" s="76" t="s">
        <v>157</v>
      </c>
      <c r="B7" s="4" t="s">
        <v>88</v>
      </c>
      <c r="C7" s="73" t="s">
        <v>108</v>
      </c>
      <c r="D7" s="72"/>
    </row>
    <row r="8" spans="1:4" x14ac:dyDescent="0.3">
      <c r="A8" s="75" t="s">
        <v>158</v>
      </c>
      <c r="B8" s="4" t="s">
        <v>89</v>
      </c>
      <c r="C8" s="72" t="s">
        <v>109</v>
      </c>
      <c r="D8" s="72"/>
    </row>
    <row r="9" spans="1:4" x14ac:dyDescent="0.3">
      <c r="A9" s="76" t="s">
        <v>159</v>
      </c>
      <c r="B9" s="4" t="s">
        <v>90</v>
      </c>
      <c r="C9" s="73" t="s">
        <v>110</v>
      </c>
      <c r="D9" s="72"/>
    </row>
    <row r="10" spans="1:4" x14ac:dyDescent="0.3">
      <c r="A10" s="75" t="s">
        <v>160</v>
      </c>
      <c r="B10" s="4" t="s">
        <v>91</v>
      </c>
      <c r="C10" s="72" t="s">
        <v>111</v>
      </c>
      <c r="D10" s="72"/>
    </row>
    <row r="11" spans="1:4" x14ac:dyDescent="0.3">
      <c r="A11" s="76" t="s">
        <v>161</v>
      </c>
      <c r="B11" s="4" t="s">
        <v>92</v>
      </c>
      <c r="C11" s="73" t="s">
        <v>112</v>
      </c>
      <c r="D11" s="72"/>
    </row>
    <row r="12" spans="1:4" x14ac:dyDescent="0.3">
      <c r="A12" s="75" t="s">
        <v>162</v>
      </c>
      <c r="B12" s="4" t="s">
        <v>93</v>
      </c>
      <c r="C12" s="73" t="s">
        <v>113</v>
      </c>
      <c r="D12" s="72"/>
    </row>
    <row r="13" spans="1:4" x14ac:dyDescent="0.3">
      <c r="A13" s="76" t="s">
        <v>163</v>
      </c>
      <c r="B13" s="4" t="s">
        <v>94</v>
      </c>
      <c r="C13" s="73" t="s">
        <v>114</v>
      </c>
      <c r="D13" s="72"/>
    </row>
    <row r="14" spans="1:4" x14ac:dyDescent="0.3">
      <c r="A14" s="75" t="s">
        <v>164</v>
      </c>
      <c r="B14" s="4" t="s">
        <v>95</v>
      </c>
      <c r="C14" s="73" t="s">
        <v>115</v>
      </c>
      <c r="D14" s="72"/>
    </row>
    <row r="15" spans="1:4" x14ac:dyDescent="0.3">
      <c r="A15" s="76" t="s">
        <v>165</v>
      </c>
      <c r="B15" s="4" t="s">
        <v>96</v>
      </c>
      <c r="C15" s="73" t="s">
        <v>116</v>
      </c>
      <c r="D15" s="72"/>
    </row>
    <row r="16" spans="1:4" x14ac:dyDescent="0.3">
      <c r="A16" s="75" t="s">
        <v>166</v>
      </c>
      <c r="B16" s="4" t="s">
        <v>97</v>
      </c>
      <c r="C16" s="73" t="s">
        <v>117</v>
      </c>
      <c r="D16" s="72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417E11-DD97-4F38-99CD-7A7F27FE51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Customers Master</vt:lpstr>
      <vt:lpstr>Suppliers Master</vt:lpstr>
      <vt:lpstr>Sales Transactions</vt:lpstr>
      <vt:lpstr>Purchase Transactions</vt:lpstr>
      <vt:lpstr>Customer Receipts</vt:lpstr>
      <vt:lpstr>Supplier Payments</vt:lpstr>
      <vt:lpstr>Chart of Accounts</vt:lpstr>
      <vt:lpstr>Calendar</vt:lpstr>
      <vt:lpstr>Trial Balance</vt:lpstr>
      <vt:lpstr>Income Statement</vt:lpstr>
      <vt:lpstr>Balance Sheet </vt:lpstr>
      <vt:lpstr>Cash Flow</vt:lpstr>
      <vt:lpstr>Customer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</dc:creator>
  <cp:lastModifiedBy>Hesham</cp:lastModifiedBy>
  <dcterms:created xsi:type="dcterms:W3CDTF">2026-07-19T19:20:55Z</dcterms:created>
  <dcterms:modified xsi:type="dcterms:W3CDTF">2026-07-23T01:33:17Z</dcterms:modified>
</cp:coreProperties>
</file>